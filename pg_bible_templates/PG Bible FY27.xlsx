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mcgove/Downloads/"/>
    </mc:Choice>
  </mc:AlternateContent>
  <xr:revisionPtr revIDLastSave="0" documentId="8_{4632EA03-2150-CF45-B2BF-FB3F60B42577}" xr6:coauthVersionLast="47" xr6:coauthVersionMax="47" xr10:uidLastSave="{00000000-0000-0000-0000-000000000000}"/>
  <bookViews>
    <workbookView xWindow="0" yWindow="660" windowWidth="30240" windowHeight="17520" firstSheet="5" activeTab="5" xr2:uid="{83B5B269-0F0E-4EF4-9212-F13544F904A7}"/>
  </bookViews>
  <sheets>
    <sheet name="Giles" sheetId="19" r:id="rId1"/>
    <sheet name="Mel" sheetId="22" r:id="rId2"/>
    <sheet name="Tristan" sheetId="23" r:id="rId3"/>
    <sheet name="Hani" sheetId="24" r:id="rId4"/>
    <sheet name="Jasmeet" sheetId="25" r:id="rId5"/>
    <sheet name="Alex" sheetId="26" r:id="rId6"/>
    <sheet name="Real example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4" i="26" l="1"/>
  <c r="K134" i="26"/>
  <c r="J134" i="26"/>
  <c r="I134" i="26"/>
  <c r="H134" i="26"/>
  <c r="G134" i="26"/>
  <c r="F134" i="26"/>
  <c r="E134" i="26"/>
  <c r="D134" i="26"/>
  <c r="P133" i="26"/>
  <c r="P132" i="26"/>
  <c r="P131" i="26"/>
  <c r="P130" i="26"/>
  <c r="P119" i="26"/>
  <c r="P118" i="26"/>
  <c r="P117" i="26"/>
  <c r="P116" i="26"/>
  <c r="P106" i="26"/>
  <c r="P105" i="26"/>
  <c r="P104" i="26"/>
  <c r="P103" i="26"/>
  <c r="P93" i="26"/>
  <c r="P92" i="26"/>
  <c r="P91" i="26"/>
  <c r="P90" i="26"/>
  <c r="C82" i="26"/>
  <c r="C83" i="26" s="1"/>
  <c r="C84" i="26" s="1"/>
  <c r="C85" i="26" s="1"/>
  <c r="C86" i="26" s="1"/>
  <c r="C87" i="26" s="1"/>
  <c r="C88" i="26" s="1"/>
  <c r="C89" i="26" s="1"/>
  <c r="C90" i="26" s="1"/>
  <c r="C91" i="26" s="1"/>
  <c r="C92" i="26" s="1"/>
  <c r="C93" i="26" s="1"/>
  <c r="C94" i="26" s="1"/>
  <c r="C95" i="26" s="1"/>
  <c r="C96" i="26" s="1"/>
  <c r="C97" i="26" s="1"/>
  <c r="C98" i="26" s="1"/>
  <c r="C99" i="26" s="1"/>
  <c r="C100" i="26" s="1"/>
  <c r="C101" i="26" s="1"/>
  <c r="C102" i="26" s="1"/>
  <c r="C103" i="26" s="1"/>
  <c r="C104" i="26" s="1"/>
  <c r="C105" i="26" s="1"/>
  <c r="C106" i="26" s="1"/>
  <c r="C107" i="26" s="1"/>
  <c r="C108" i="26" s="1"/>
  <c r="C109" i="26" s="1"/>
  <c r="C110" i="26" s="1"/>
  <c r="C111" i="26" s="1"/>
  <c r="C112" i="26" s="1"/>
  <c r="C113" i="26" s="1"/>
  <c r="C114" i="26" s="1"/>
  <c r="C115" i="26" s="1"/>
  <c r="C116" i="26" s="1"/>
  <c r="C117" i="26" s="1"/>
  <c r="C118" i="26" s="1"/>
  <c r="C119" i="26" s="1"/>
  <c r="C120" i="26" s="1"/>
  <c r="C121" i="26" s="1"/>
  <c r="C122" i="26" s="1"/>
  <c r="C123" i="26" s="1"/>
  <c r="C124" i="26" s="1"/>
  <c r="C125" i="26" s="1"/>
  <c r="C126" i="26" s="1"/>
  <c r="C127" i="26" s="1"/>
  <c r="C128" i="26" s="1"/>
  <c r="C129" i="26" s="1"/>
  <c r="C130" i="26" s="1"/>
  <c r="C131" i="26" s="1"/>
  <c r="B13" i="26"/>
  <c r="B14" i="26" s="1"/>
  <c r="B15" i="26" s="1"/>
  <c r="B16" i="26" s="1"/>
  <c r="B17" i="26" s="1"/>
  <c r="B18" i="26" s="1"/>
  <c r="B19" i="26" s="1"/>
  <c r="L5" i="26"/>
  <c r="F5" i="26"/>
  <c r="L134" i="25"/>
  <c r="K134" i="25"/>
  <c r="J134" i="25"/>
  <c r="I134" i="25"/>
  <c r="H134" i="25"/>
  <c r="G134" i="25"/>
  <c r="F134" i="25"/>
  <c r="E134" i="25"/>
  <c r="D134" i="25"/>
  <c r="P133" i="25"/>
  <c r="P132" i="25"/>
  <c r="P131" i="25"/>
  <c r="P130" i="25"/>
  <c r="P119" i="25"/>
  <c r="P118" i="25"/>
  <c r="P117" i="25"/>
  <c r="P116" i="25"/>
  <c r="P106" i="25"/>
  <c r="P105" i="25"/>
  <c r="P104" i="25"/>
  <c r="P103" i="25"/>
  <c r="P93" i="25"/>
  <c r="P92" i="25"/>
  <c r="P91" i="25"/>
  <c r="P90" i="25"/>
  <c r="C82" i="25"/>
  <c r="C83" i="25" s="1"/>
  <c r="C84" i="25" s="1"/>
  <c r="C85" i="25" s="1"/>
  <c r="C86" i="25" s="1"/>
  <c r="C87" i="25" s="1"/>
  <c r="C88" i="25" s="1"/>
  <c r="C89" i="25" s="1"/>
  <c r="C90" i="25" s="1"/>
  <c r="C91" i="25" s="1"/>
  <c r="C92" i="25" s="1"/>
  <c r="C93" i="25" s="1"/>
  <c r="C94" i="25" s="1"/>
  <c r="C95" i="25" s="1"/>
  <c r="C96" i="25" s="1"/>
  <c r="C97" i="25" s="1"/>
  <c r="C98" i="25" s="1"/>
  <c r="C99" i="25" s="1"/>
  <c r="C100" i="25" s="1"/>
  <c r="C101" i="25" s="1"/>
  <c r="C102" i="25" s="1"/>
  <c r="C103" i="25" s="1"/>
  <c r="C104" i="25" s="1"/>
  <c r="C105" i="25" s="1"/>
  <c r="C106" i="25" s="1"/>
  <c r="C107" i="25" s="1"/>
  <c r="C108" i="25" s="1"/>
  <c r="C109" i="25" s="1"/>
  <c r="C110" i="25" s="1"/>
  <c r="C111" i="25" s="1"/>
  <c r="C112" i="25" s="1"/>
  <c r="C113" i="25" s="1"/>
  <c r="C114" i="25" s="1"/>
  <c r="C115" i="25" s="1"/>
  <c r="C116" i="25" s="1"/>
  <c r="C117" i="25" s="1"/>
  <c r="C118" i="25" s="1"/>
  <c r="C119" i="25" s="1"/>
  <c r="C120" i="25" s="1"/>
  <c r="C121" i="25" s="1"/>
  <c r="C122" i="25" s="1"/>
  <c r="C123" i="25" s="1"/>
  <c r="C124" i="25" s="1"/>
  <c r="C125" i="25" s="1"/>
  <c r="C126" i="25" s="1"/>
  <c r="C127" i="25" s="1"/>
  <c r="C128" i="25" s="1"/>
  <c r="C129" i="25" s="1"/>
  <c r="C130" i="25" s="1"/>
  <c r="C131" i="25" s="1"/>
  <c r="B13" i="25"/>
  <c r="B14" i="25" s="1"/>
  <c r="B15" i="25" s="1"/>
  <c r="B16" i="25" s="1"/>
  <c r="B17" i="25" s="1"/>
  <c r="B18" i="25" s="1"/>
  <c r="B19" i="25" s="1"/>
  <c r="L5" i="25"/>
  <c r="F5" i="25"/>
  <c r="L134" i="24"/>
  <c r="K134" i="24"/>
  <c r="J134" i="24"/>
  <c r="I134" i="24"/>
  <c r="H134" i="24"/>
  <c r="G134" i="24"/>
  <c r="F134" i="24"/>
  <c r="E134" i="24"/>
  <c r="D134" i="24"/>
  <c r="P133" i="24"/>
  <c r="P132" i="24"/>
  <c r="P131" i="24"/>
  <c r="P130" i="24"/>
  <c r="P119" i="24"/>
  <c r="P118" i="24"/>
  <c r="P117" i="24"/>
  <c r="P116" i="24"/>
  <c r="P106" i="24"/>
  <c r="P105" i="24"/>
  <c r="P104" i="24"/>
  <c r="P103" i="24"/>
  <c r="P93" i="24"/>
  <c r="P92" i="24"/>
  <c r="P91" i="24"/>
  <c r="P90" i="24"/>
  <c r="C82" i="24"/>
  <c r="C83" i="24" s="1"/>
  <c r="C84" i="24" s="1"/>
  <c r="C85" i="24" s="1"/>
  <c r="C86" i="24" s="1"/>
  <c r="C87" i="24" s="1"/>
  <c r="C88" i="24" s="1"/>
  <c r="C89" i="24" s="1"/>
  <c r="C90" i="24" s="1"/>
  <c r="C91" i="24" s="1"/>
  <c r="C92" i="24" s="1"/>
  <c r="C93" i="24" s="1"/>
  <c r="C94" i="24" s="1"/>
  <c r="C95" i="24" s="1"/>
  <c r="C96" i="24" s="1"/>
  <c r="C97" i="24" s="1"/>
  <c r="C98" i="24" s="1"/>
  <c r="C99" i="24" s="1"/>
  <c r="C100" i="24" s="1"/>
  <c r="C101" i="24" s="1"/>
  <c r="C102" i="24" s="1"/>
  <c r="C103" i="24" s="1"/>
  <c r="C104" i="24" s="1"/>
  <c r="C105" i="24" s="1"/>
  <c r="C106" i="24" s="1"/>
  <c r="C107" i="24" s="1"/>
  <c r="C108" i="24" s="1"/>
  <c r="C109" i="24" s="1"/>
  <c r="C110" i="24" s="1"/>
  <c r="C111" i="24" s="1"/>
  <c r="C112" i="24" s="1"/>
  <c r="C113" i="24" s="1"/>
  <c r="C114" i="24" s="1"/>
  <c r="C115" i="24" s="1"/>
  <c r="C116" i="24" s="1"/>
  <c r="C117" i="24" s="1"/>
  <c r="C118" i="24" s="1"/>
  <c r="C119" i="24" s="1"/>
  <c r="C120" i="24" s="1"/>
  <c r="C121" i="24" s="1"/>
  <c r="C122" i="24" s="1"/>
  <c r="C123" i="24" s="1"/>
  <c r="C124" i="24" s="1"/>
  <c r="C125" i="24" s="1"/>
  <c r="C126" i="24" s="1"/>
  <c r="C127" i="24" s="1"/>
  <c r="C128" i="24" s="1"/>
  <c r="C129" i="24" s="1"/>
  <c r="C130" i="24" s="1"/>
  <c r="C131" i="24" s="1"/>
  <c r="B14" i="24"/>
  <c r="B15" i="24" s="1"/>
  <c r="B16" i="24" s="1"/>
  <c r="B17" i="24" s="1"/>
  <c r="B18" i="24" s="1"/>
  <c r="B19" i="24" s="1"/>
  <c r="B13" i="24"/>
  <c r="L5" i="24"/>
  <c r="F5" i="24"/>
  <c r="L134" i="23"/>
  <c r="K134" i="23"/>
  <c r="J134" i="23"/>
  <c r="I134" i="23"/>
  <c r="H134" i="23"/>
  <c r="G134" i="23"/>
  <c r="F134" i="23"/>
  <c r="E134" i="23"/>
  <c r="D134" i="23"/>
  <c r="P133" i="23"/>
  <c r="P132" i="23"/>
  <c r="P131" i="23"/>
  <c r="P130" i="23"/>
  <c r="P119" i="23"/>
  <c r="P118" i="23"/>
  <c r="P117" i="23"/>
  <c r="P116" i="23"/>
  <c r="P106" i="23"/>
  <c r="P105" i="23"/>
  <c r="P104" i="23"/>
  <c r="P103" i="23"/>
  <c r="P93" i="23"/>
  <c r="P92" i="23"/>
  <c r="P91" i="23"/>
  <c r="P90" i="23"/>
  <c r="C82" i="23"/>
  <c r="C83" i="23" s="1"/>
  <c r="C84" i="23" s="1"/>
  <c r="C85" i="23" s="1"/>
  <c r="C86" i="23" s="1"/>
  <c r="C87" i="23" s="1"/>
  <c r="C88" i="23" s="1"/>
  <c r="C89" i="23" s="1"/>
  <c r="C90" i="23" s="1"/>
  <c r="C91" i="23" s="1"/>
  <c r="C92" i="23" s="1"/>
  <c r="C93" i="23" s="1"/>
  <c r="C94" i="23" s="1"/>
  <c r="C95" i="23" s="1"/>
  <c r="C96" i="23" s="1"/>
  <c r="C97" i="23" s="1"/>
  <c r="C98" i="23" s="1"/>
  <c r="C99" i="23" s="1"/>
  <c r="C100" i="23" s="1"/>
  <c r="C101" i="23" s="1"/>
  <c r="C102" i="23" s="1"/>
  <c r="C103" i="23" s="1"/>
  <c r="C104" i="23" s="1"/>
  <c r="C105" i="23" s="1"/>
  <c r="C106" i="23" s="1"/>
  <c r="C107" i="23" s="1"/>
  <c r="C108" i="23" s="1"/>
  <c r="C109" i="23" s="1"/>
  <c r="C110" i="23" s="1"/>
  <c r="C111" i="23" s="1"/>
  <c r="C112" i="23" s="1"/>
  <c r="C113" i="23" s="1"/>
  <c r="C114" i="23" s="1"/>
  <c r="C115" i="23" s="1"/>
  <c r="C116" i="23" s="1"/>
  <c r="C117" i="23" s="1"/>
  <c r="C118" i="23" s="1"/>
  <c r="C119" i="23" s="1"/>
  <c r="C120" i="23" s="1"/>
  <c r="C121" i="23" s="1"/>
  <c r="C122" i="23" s="1"/>
  <c r="C123" i="23" s="1"/>
  <c r="C124" i="23" s="1"/>
  <c r="C125" i="23" s="1"/>
  <c r="C126" i="23" s="1"/>
  <c r="C127" i="23" s="1"/>
  <c r="C128" i="23" s="1"/>
  <c r="C129" i="23" s="1"/>
  <c r="C130" i="23" s="1"/>
  <c r="C131" i="23" s="1"/>
  <c r="B13" i="23"/>
  <c r="B14" i="23" s="1"/>
  <c r="B15" i="23" s="1"/>
  <c r="B16" i="23" s="1"/>
  <c r="B17" i="23" s="1"/>
  <c r="B18" i="23" s="1"/>
  <c r="B19" i="23" s="1"/>
  <c r="L5" i="23"/>
  <c r="F5" i="23"/>
  <c r="L134" i="22"/>
  <c r="K134" i="22"/>
  <c r="J134" i="22"/>
  <c r="I134" i="22"/>
  <c r="H134" i="22"/>
  <c r="G134" i="22"/>
  <c r="F134" i="22"/>
  <c r="E134" i="22"/>
  <c r="D134" i="22"/>
  <c r="P133" i="22"/>
  <c r="P132" i="22"/>
  <c r="P131" i="22"/>
  <c r="P130" i="22"/>
  <c r="P119" i="22"/>
  <c r="P118" i="22"/>
  <c r="P117" i="22"/>
  <c r="P116" i="22"/>
  <c r="P106" i="22"/>
  <c r="P105" i="22"/>
  <c r="P104" i="22"/>
  <c r="P103" i="22"/>
  <c r="P93" i="22"/>
  <c r="P92" i="22"/>
  <c r="P91" i="22"/>
  <c r="P90" i="22"/>
  <c r="C82" i="22"/>
  <c r="C83" i="22" s="1"/>
  <c r="C84" i="22" s="1"/>
  <c r="C85" i="22" s="1"/>
  <c r="C86" i="22" s="1"/>
  <c r="C87" i="22" s="1"/>
  <c r="C88" i="22" s="1"/>
  <c r="C89" i="22" s="1"/>
  <c r="C90" i="22" s="1"/>
  <c r="C91" i="22" s="1"/>
  <c r="C92" i="22" s="1"/>
  <c r="C93" i="22" s="1"/>
  <c r="C94" i="22" s="1"/>
  <c r="C95" i="22" s="1"/>
  <c r="C96" i="22" s="1"/>
  <c r="C97" i="22" s="1"/>
  <c r="C98" i="22" s="1"/>
  <c r="C99" i="22" s="1"/>
  <c r="C100" i="22" s="1"/>
  <c r="C101" i="22" s="1"/>
  <c r="C102" i="22" s="1"/>
  <c r="C103" i="22" s="1"/>
  <c r="C104" i="22" s="1"/>
  <c r="C105" i="22" s="1"/>
  <c r="C106" i="22" s="1"/>
  <c r="C107" i="22" s="1"/>
  <c r="C108" i="22" s="1"/>
  <c r="C109" i="22" s="1"/>
  <c r="C110" i="22" s="1"/>
  <c r="C111" i="22" s="1"/>
  <c r="C112" i="22" s="1"/>
  <c r="C113" i="22" s="1"/>
  <c r="C114" i="22" s="1"/>
  <c r="C115" i="22" s="1"/>
  <c r="C116" i="22" s="1"/>
  <c r="C117" i="22" s="1"/>
  <c r="C118" i="22" s="1"/>
  <c r="C119" i="22" s="1"/>
  <c r="C120" i="22" s="1"/>
  <c r="C121" i="22" s="1"/>
  <c r="C122" i="22" s="1"/>
  <c r="C123" i="22" s="1"/>
  <c r="C124" i="22" s="1"/>
  <c r="C125" i="22" s="1"/>
  <c r="C126" i="22" s="1"/>
  <c r="C127" i="22" s="1"/>
  <c r="C128" i="22" s="1"/>
  <c r="C129" i="22" s="1"/>
  <c r="C130" i="22" s="1"/>
  <c r="C131" i="22" s="1"/>
  <c r="B13" i="22"/>
  <c r="B14" i="22" s="1"/>
  <c r="B15" i="22" s="1"/>
  <c r="B16" i="22" s="1"/>
  <c r="B17" i="22" s="1"/>
  <c r="B18" i="22" s="1"/>
  <c r="B19" i="22" s="1"/>
  <c r="L5" i="22"/>
  <c r="F5" i="22"/>
  <c r="L134" i="19" l="1"/>
  <c r="K134" i="19"/>
  <c r="J134" i="19"/>
  <c r="I134" i="19"/>
  <c r="H134" i="19"/>
  <c r="G134" i="19"/>
  <c r="F134" i="19"/>
  <c r="E134" i="19"/>
  <c r="D134" i="19"/>
  <c r="P133" i="19"/>
  <c r="P132" i="19"/>
  <c r="P131" i="19"/>
  <c r="P130" i="19"/>
  <c r="P119" i="19"/>
  <c r="P118" i="19"/>
  <c r="P117" i="19"/>
  <c r="P116" i="19"/>
  <c r="P106" i="19"/>
  <c r="P105" i="19"/>
  <c r="P104" i="19"/>
  <c r="P103" i="19"/>
  <c r="P93" i="19"/>
  <c r="P92" i="19"/>
  <c r="P91" i="19"/>
  <c r="P90" i="19"/>
  <c r="C82" i="19"/>
  <c r="C83" i="19" s="1"/>
  <c r="C84" i="19" s="1"/>
  <c r="C85" i="19" s="1"/>
  <c r="C86" i="19" s="1"/>
  <c r="C87" i="19" s="1"/>
  <c r="C88" i="19" s="1"/>
  <c r="C89" i="19" s="1"/>
  <c r="C90" i="19" s="1"/>
  <c r="C91" i="19" s="1"/>
  <c r="C92" i="19" s="1"/>
  <c r="C93" i="19" s="1"/>
  <c r="C94" i="19" s="1"/>
  <c r="C95" i="19" s="1"/>
  <c r="C96" i="19" s="1"/>
  <c r="C97" i="19" s="1"/>
  <c r="C98" i="19" s="1"/>
  <c r="C99" i="19" s="1"/>
  <c r="C100" i="19" s="1"/>
  <c r="C101" i="19" s="1"/>
  <c r="C102" i="19" s="1"/>
  <c r="C103" i="19" s="1"/>
  <c r="C104" i="19" s="1"/>
  <c r="C105" i="19" s="1"/>
  <c r="C106" i="19" s="1"/>
  <c r="C107" i="19" s="1"/>
  <c r="C108" i="19" s="1"/>
  <c r="C109" i="19" s="1"/>
  <c r="C110" i="19" s="1"/>
  <c r="C111" i="19" s="1"/>
  <c r="C112" i="19" s="1"/>
  <c r="C113" i="19" s="1"/>
  <c r="C114" i="19" s="1"/>
  <c r="C115" i="19" s="1"/>
  <c r="C116" i="19" s="1"/>
  <c r="C117" i="19" s="1"/>
  <c r="C118" i="19" s="1"/>
  <c r="C119" i="19" s="1"/>
  <c r="C120" i="19" s="1"/>
  <c r="C121" i="19" s="1"/>
  <c r="C122" i="19" s="1"/>
  <c r="C123" i="19" s="1"/>
  <c r="C124" i="19" s="1"/>
  <c r="C125" i="19" s="1"/>
  <c r="C126" i="19" s="1"/>
  <c r="C127" i="19" s="1"/>
  <c r="C128" i="19" s="1"/>
  <c r="C129" i="19" s="1"/>
  <c r="C130" i="19" s="1"/>
  <c r="C131" i="19" s="1"/>
  <c r="B13" i="19"/>
  <c r="B14" i="19" s="1"/>
  <c r="B15" i="19" s="1"/>
  <c r="B16" i="19" s="1"/>
  <c r="B17" i="19" s="1"/>
  <c r="B18" i="19" s="1"/>
  <c r="B19" i="19" s="1"/>
  <c r="L5" i="19"/>
  <c r="F5" i="19"/>
  <c r="L142" i="8" l="1"/>
  <c r="K142" i="8"/>
  <c r="J142" i="8"/>
  <c r="I142" i="8"/>
  <c r="H142" i="8"/>
  <c r="G142" i="8"/>
  <c r="F142" i="8"/>
  <c r="E142" i="8"/>
  <c r="D142" i="8"/>
  <c r="P141" i="8"/>
  <c r="P140" i="8"/>
  <c r="P139" i="8"/>
  <c r="P138" i="8"/>
  <c r="P127" i="8"/>
  <c r="P126" i="8"/>
  <c r="P125" i="8"/>
  <c r="P124" i="8"/>
  <c r="P114" i="8"/>
  <c r="P113" i="8"/>
  <c r="P112" i="8"/>
  <c r="P111" i="8"/>
  <c r="P101" i="8"/>
  <c r="P100" i="8"/>
  <c r="P99" i="8"/>
  <c r="P98" i="8"/>
  <c r="T83" i="8"/>
  <c r="B12" i="8"/>
  <c r="B13" i="8" s="1"/>
  <c r="B14" i="8" s="1"/>
  <c r="B15" i="8" s="1"/>
  <c r="B16" i="8" s="1"/>
  <c r="B17" i="8" s="1"/>
  <c r="B18" i="8" s="1"/>
  <c r="B19" i="8" s="1"/>
  <c r="B20" i="8" s="1"/>
  <c r="B21" i="8" s="1"/>
  <c r="L3" i="8"/>
  <c r="L5" i="8" s="1"/>
</calcChain>
</file>

<file path=xl/sharedStrings.xml><?xml version="1.0" encoding="utf-8"?>
<sst xmlns="http://schemas.openxmlformats.org/spreadsheetml/2006/main" count="832" uniqueCount="206">
  <si>
    <t>PG GOALS</t>
  </si>
  <si>
    <t>Growth Quota</t>
  </si>
  <si>
    <t>OWNED &amp; UPDATED BY IC</t>
  </si>
  <si>
    <t>Account</t>
  </si>
  <si>
    <t>SAAP Booked Date</t>
  </si>
  <si>
    <t>FY26 Starting Pipeline Position</t>
  </si>
  <si>
    <t>FY26 4 Quarter Total Addressable Pipeline TARGET</t>
  </si>
  <si>
    <t>A</t>
  </si>
  <si>
    <t>B</t>
  </si>
  <si>
    <t>FY25 Pipeline Added</t>
  </si>
  <si>
    <r>
      <rPr>
        <b/>
        <sz val="14"/>
        <color rgb="FF000000"/>
        <rFont val="Calibri"/>
        <family val="2"/>
      </rPr>
      <t>FY26 4 Quarter Total Addressable Pipeline</t>
    </r>
    <r>
      <rPr>
        <b/>
        <sz val="22"/>
        <color rgb="FFFF0000"/>
        <rFont val="Calibri"/>
        <family val="2"/>
      </rPr>
      <t xml:space="preserve"> GAP</t>
    </r>
  </si>
  <si>
    <t>C</t>
  </si>
  <si>
    <t>D</t>
  </si>
  <si>
    <t>PG PLAN</t>
  </si>
  <si>
    <t>Pipeline Reconciliation Plan (PRP) - Full Year OWNED &amp; UPDATED BY IC</t>
  </si>
  <si>
    <t>Month</t>
  </si>
  <si>
    <t>PG Marketing Event Being Supported</t>
  </si>
  <si>
    <t>Notes &amp; General PG Actions</t>
  </si>
  <si>
    <t>NBM Target</t>
  </si>
  <si>
    <t>PG Sales Play or Initative</t>
  </si>
  <si>
    <t>Customer</t>
  </si>
  <si>
    <t>Estimated Value</t>
  </si>
  <si>
    <t>April</t>
  </si>
  <si>
    <t xml:space="preserve">May </t>
  </si>
  <si>
    <t>June</t>
  </si>
  <si>
    <t xml:space="preserve">July 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</si>
  <si>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</si>
  <si>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</si>
  <si>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</si>
  <si>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</si>
  <si>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</si>
  <si>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</si>
  <si>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</si>
  <si>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</si>
  <si>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PG ACTIONS</t>
  </si>
  <si>
    <t>Managers Notes &amp; Actions</t>
  </si>
  <si>
    <t>Related NBM Target</t>
  </si>
  <si>
    <t>Targeted or Booked Discovery Meeting 
(Name &amp; Poistion)</t>
  </si>
  <si>
    <t>Made Contact Yes/No</t>
  </si>
  <si>
    <t>Completed Discovery Meeting 
Yes / No</t>
  </si>
  <si>
    <t>Discovery Meeting Next Action / Notes</t>
  </si>
  <si>
    <t>NBM Booked / Date
(Name &amp; Position)</t>
  </si>
  <si>
    <t>Why Buy Document 
Yes / No</t>
  </si>
  <si>
    <t>Exec First 
Yes / No</t>
  </si>
  <si>
    <t>Preparation With Manager</t>
  </si>
  <si>
    <t>Completed NBM 
Yes / No</t>
  </si>
  <si>
    <t>NBM Next Action / \Notes</t>
  </si>
  <si>
    <t>VO Value</t>
  </si>
  <si>
    <t>OWNED &amp; UPDATED BY AM</t>
  </si>
  <si>
    <t>VITOs</t>
  </si>
  <si>
    <t>Discovery</t>
  </si>
  <si>
    <t>NBMs</t>
  </si>
  <si>
    <t>Pipeline Generated</t>
  </si>
  <si>
    <t>#</t>
  </si>
  <si>
    <t>WC</t>
  </si>
  <si>
    <t>Sent</t>
  </si>
  <si>
    <t>Chased</t>
  </si>
  <si>
    <t>Booked</t>
  </si>
  <si>
    <t>Completed</t>
  </si>
  <si>
    <t>Exec Firsts</t>
  </si>
  <si>
    <t>#VO</t>
  </si>
  <si>
    <t>$m</t>
  </si>
  <si>
    <t>Q1 Results</t>
  </si>
  <si>
    <t>VITOS Sent</t>
  </si>
  <si>
    <t>Discovery Meetings</t>
  </si>
  <si>
    <t>NBM's</t>
  </si>
  <si>
    <t>Pipeline Added</t>
  </si>
  <si>
    <t>Q2 Results</t>
  </si>
  <si>
    <t>Q3 Results</t>
  </si>
  <si>
    <t>Q4 Results</t>
  </si>
  <si>
    <t>VITOS</t>
  </si>
  <si>
    <t>Summary</t>
  </si>
  <si>
    <t>Total</t>
  </si>
  <si>
    <t>FY27 Starting Pipeline Position</t>
  </si>
  <si>
    <t>FY27 Pipeline Added</t>
  </si>
  <si>
    <t>OWNED &amp; UPDATED BY CAM</t>
  </si>
  <si>
    <t>FY22 Starting Pipeline Position</t>
  </si>
  <si>
    <t>FY22 4 Quarter Total Addressable Pipeline TARGET</t>
  </si>
  <si>
    <t>Telefonica</t>
  </si>
  <si>
    <t>14/5/2021</t>
  </si>
  <si>
    <t>FY22 Pipeline Added</t>
  </si>
  <si>
    <r>
      <t>FY22 4 Quarter Total Addressable Pipeline</t>
    </r>
    <r>
      <rPr>
        <b/>
        <sz val="22"/>
        <color rgb="FFFF0000"/>
        <rFont val="Calibri (Body)"/>
      </rPr>
      <t xml:space="preserve"> GAP</t>
    </r>
  </si>
  <si>
    <t>Pipeline Reconciliation Plan (PRP) - Full Year OWNED &amp; UPDATED BY CAM</t>
  </si>
  <si>
    <t>Helix Control-M John Harmon (19th June)</t>
  </si>
  <si>
    <t xml:space="preserve">Extend Discovery &amp; Capacity to "Networks" </t>
  </si>
  <si>
    <t>Control-M Cocktail Event, 24th of June</t>
  </si>
  <si>
    <t>Control-M - TEF SMIP &amp; Nucleus  - Drive adoption &amp; growth through BigData &amp; WCM/other tools</t>
  </si>
  <si>
    <t>Flip TEF Onpremise solutions to Helix (Monitoring/Discovery/CMDB/Vulnerability &amp; Capacity)</t>
  </si>
  <si>
    <t>Ensure Helix deployment success, add on business workflows for Business Change</t>
  </si>
  <si>
    <t>Gin event 3UK &amp; O2</t>
  </si>
  <si>
    <t>Drive Helix 3 year renewal without decline</t>
  </si>
  <si>
    <t>H3G</t>
  </si>
  <si>
    <t>Control-M for Big data - reinvigorate use of and drive growth</t>
  </si>
  <si>
    <t>Services  - Align to new deployments, optimise what they have and drive AMS sale for Helix</t>
  </si>
  <si>
    <t>Defend Virgin Media Remedy and build transformation plan with BMC embedded</t>
  </si>
  <si>
    <t>Virgin Media</t>
  </si>
  <si>
    <t>ControlM - drive use case expansion, deploy WCM, sell MFTE  and adoption for BigData in B2B</t>
  </si>
  <si>
    <t>BMC Services Expansion, AMS for Remedy &amp; Transform to Helix</t>
  </si>
  <si>
    <t>Expansion of Capacity Optimisation to full VM Server estate</t>
  </si>
  <si>
    <t>Telco Security Regulations (TSR  - Discovery &amp; TSAS</t>
  </si>
  <si>
    <t>Helix Edge for Dave Sanderson</t>
  </si>
  <si>
    <t>TS Orchestrator - Gabriel Yepes</t>
  </si>
  <si>
    <t>TSAS - Extend &amp; renew footprint - align to TSR</t>
  </si>
  <si>
    <t>Helix Integration Platform (Jitterbit)</t>
  </si>
  <si>
    <t>TSAS Vulnerability Mgmt (13,000 servers IT plus Networks)</t>
  </si>
  <si>
    <t xml:space="preserve">AIOPs (focused on Monitoring and Automation) </t>
  </si>
  <si>
    <t>Helix Optimize - Replace</t>
  </si>
  <si>
    <t>Managers Notes &amp; Actions - TO BE COMPLETED &amp; MAINTAINED BY MANAGER</t>
  </si>
  <si>
    <t>Dave Sanderson, Claire Venners &amp; Likely Julian Davidge also</t>
  </si>
  <si>
    <t>Yes x 2</t>
  </si>
  <si>
    <t>update needed with Megan Dooley and D Ledger, postiioned TSCO CVR</t>
  </si>
  <si>
    <t>Yes</t>
  </si>
  <si>
    <t>Donna Hodgetts, Head of Service Mgmt + operations</t>
  </si>
  <si>
    <t>Ongoing</t>
  </si>
  <si>
    <t xml:space="preserve">NBM to book with Caroline O'Grady and with </t>
  </si>
  <si>
    <t>Jorge Ribeiro, Dir Core Network &amp; IT Infra</t>
  </si>
  <si>
    <t>David Ledger, Manager Governance &amp; Capacity management</t>
  </si>
  <si>
    <t>Discovery &amp; update 2/7 - CVR setup mtg booking for end July</t>
  </si>
  <si>
    <t>Jon Ratcliff - Lead Architect O2 Nucleus</t>
  </si>
  <si>
    <t>Jon introduced to VM Peers, exploring and executed 2NBMs</t>
  </si>
  <si>
    <t>Duncan Rea - Service Delivery Lead</t>
  </si>
  <si>
    <t>Duncan agreed that we should CVR the two environments to explore areas of gain</t>
  </si>
  <si>
    <t>Ian Shaylor - Portfolio CIO, Data and Automation</t>
  </si>
  <si>
    <t>No</t>
  </si>
  <si>
    <t>Nil response</t>
  </si>
  <si>
    <t>Hamish Tonkin, Head of Automation</t>
  </si>
  <si>
    <t>NBM, cancelled at short notice. nil response since</t>
  </si>
  <si>
    <t>July 20th, Hamish Tonkin</t>
  </si>
  <si>
    <t>On 1st of July</t>
  </si>
  <si>
    <t>Amanda Stokes-Waters, Dir of VM &amp; Operations</t>
  </si>
  <si>
    <t>Head of VM Dscovery 5/7 - meeting 23/7 with ASW</t>
  </si>
  <si>
    <t>Chris Buggie - Chief Architect &amp; Infrastructure Leadi</t>
  </si>
  <si>
    <t>Proposed  we meet 21 July with Ian Russ re telco strategy - sick not rescheduled</t>
  </si>
  <si>
    <t>Chris Wilson - Cloud Platforms Manager</t>
  </si>
  <si>
    <t>Discovery mtg scheduled for 22/7 - done - aligned to ITPC growth</t>
  </si>
  <si>
    <t>Adrian Di Meo, VMO2 CIO</t>
  </si>
  <si>
    <t>Vito written, hector to send and secure</t>
  </si>
  <si>
    <t>claire will efect this, exec alignment wityh Ali when ready</t>
  </si>
  <si>
    <t>Claire Venners, Capability Owner Service Mgmt</t>
  </si>
  <si>
    <t>Bus Change activity underway, present capabilities to change team at NTT then to stakeholder groups</t>
  </si>
  <si>
    <t>Francesco Lacciarini, USM Owner</t>
  </si>
  <si>
    <t>Onboardand engaged</t>
  </si>
  <si>
    <t>Philip Meehan, Senior OSS Mgr - left replaced with Jon Woods - met and presneted</t>
  </si>
  <si>
    <t>Pitched and agreed CVR 29/6 - execute asap</t>
  </si>
  <si>
    <t>Mihir Shah, Head of Operations</t>
  </si>
  <si>
    <t>Done, interested but vague - more people to align with on automation</t>
  </si>
  <si>
    <t>Thierry Rabot - Service Owner Transformation</t>
  </si>
  <si>
    <t>intial focus on CB and DWP-A - solution demo 19/7 - pilot for QA Q3 for q3 purchase</t>
  </si>
  <si>
    <t xml:space="preserve">Iain Milligan, Dir of Service Ops &amp; Assurance / CISO </t>
  </si>
  <si>
    <t>Met Ian with NTT, gin evening  - build BMC POV and present back October</t>
  </si>
  <si>
    <t>Jason Kabengele, Dir OSS, transport &amp; Infra Svcs</t>
  </si>
  <si>
    <t>Tanya Gilligan - Head of Big Data Mgmt &amp; Governance</t>
  </si>
  <si>
    <t>attended CDO meeting and vito'd.  NBM booked 30/7 with SalB</t>
  </si>
  <si>
    <t>Walid Hadid, Head of Big Data &amp; AI</t>
  </si>
  <si>
    <t xml:space="preserve">Ian Milligan Dir of Service Ops &amp; Assurance / CISO </t>
  </si>
  <si>
    <t>Philip Meehan, Director OSS</t>
  </si>
  <si>
    <t>Outline discussion and supportive though this is Milligan aligned</t>
  </si>
  <si>
    <t>Chris Constantinou - Vendor mgmt</t>
  </si>
  <si>
    <t>Working an iterative straw man with MD for internal 3 review with IM - ongoing</t>
  </si>
  <si>
    <t>William Mak, Service Assurance &amp; Mgmt Mgr</t>
  </si>
  <si>
    <t xml:space="preserve">Yes </t>
  </si>
  <si>
    <t>Met with Will and Chris C.  Proposed framework and much to scope but interested in a larger svcs deal</t>
  </si>
  <si>
    <t>Requested a mtg, jointly with NTT as per CTO david hennesy</t>
  </si>
  <si>
    <t>ANO - Remedy operational Pain Owner TBC</t>
  </si>
  <si>
    <t>Donna Hodgetts, VP operations</t>
  </si>
  <si>
    <t>Vito'd suggested 20th July.  NTT also pushing joint mtg</t>
  </si>
  <si>
    <t>Stella Wallace, Head of ServMgmt  - Business</t>
  </si>
  <si>
    <t>Alan George, Dir Infra &amp; Cloud / Matthias Schroder Dir Transformation</t>
  </si>
  <si>
    <t xml:space="preserve">Met - expand TSCO, Montoring issuse, security issue - darren tibballs </t>
  </si>
  <si>
    <t>Nafsika Katsoglou, Head of Data, Cloud &amp; Security</t>
  </si>
  <si>
    <t>Lynndsey McDougal. Dir Bus &amp; Operational Platforms</t>
  </si>
  <si>
    <t>Jeff Dodds, COO VMO2</t>
  </si>
  <si>
    <t>ANO - Remedy operational Pain Owner TBC - Target with Accenture</t>
  </si>
  <si>
    <t>Kerri Houseman</t>
  </si>
  <si>
    <t>Introductions made. disco mtg booked for 28/7</t>
  </si>
  <si>
    <t>Alan George Dir Infra</t>
  </si>
  <si>
    <t>yes</t>
  </si>
  <si>
    <t>met, lots of OPS pain, interested oin our AIOPs story - next meeting TBC NBM alan to schedule late oct once next levels announced</t>
  </si>
  <si>
    <t>ClaireV, Paul Mackintosh, TSR lead, NTT security lead Sarah Woods</t>
  </si>
  <si>
    <t>NTT embedded in TSR with VM and TEF - meting client partner 1/10</t>
  </si>
  <si>
    <t>Darren Tibballs at VM, James woods for expansion in o2</t>
  </si>
  <si>
    <t>lots of pain, very interested</t>
  </si>
  <si>
    <t>Adrian Gorham - CSO VMo2 - need to access and share O2 story and pitch likely EB</t>
  </si>
  <si>
    <t>3UK</t>
  </si>
  <si>
    <t>GOSI</t>
  </si>
  <si>
    <t>NTT Team H3G - David Counsel</t>
  </si>
  <si>
    <t>met david 1/7, workshop oppty 7/7 - meeting 22/7 to agree plan</t>
  </si>
  <si>
    <t>Atos team for VMO2 - Eduardo Pedraza &amp; UK Lead</t>
  </si>
  <si>
    <t>Met Eduardo, hiring new, asked for a simple map of BMC in VMO2</t>
  </si>
  <si>
    <t>TechM Telco Cluster Team VMO2 &amp; H3G (Abid Mirza &amp; UK lead)</t>
  </si>
  <si>
    <t>meeting  TBC</t>
  </si>
  <si>
    <t>Accenture Team - develop joint POV VMO2 - Paul White/Chris Forbes/chris goddard</t>
  </si>
  <si>
    <t>meeting 29/6 - sharing BMC plans &amp; opps.  next steps TBC PW</t>
  </si>
  <si>
    <t>NTT Team - develop joint POV VMO2 Jarnail gill</t>
  </si>
  <si>
    <t>met, workshop booked 22/7</t>
  </si>
  <si>
    <t>NTT Team H3G</t>
  </si>
  <si>
    <t>PG RESULTS</t>
  </si>
  <si>
    <t>Week</t>
  </si>
  <si>
    <t>Risk &amp; Resilience</t>
  </si>
  <si>
    <t>Security</t>
  </si>
  <si>
    <t>Unilever</t>
  </si>
  <si>
    <t>West Brom</t>
  </si>
  <si>
    <t>Fred</t>
  </si>
  <si>
    <t>Joe</t>
  </si>
  <si>
    <t>Steve</t>
  </si>
  <si>
    <t>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</si>
</sst>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_);[Red]\(&quot;$&quot;#,##0\)"/>
    <numFmt numFmtId="165" formatCode="_-* #,##0.00\ &quot;€&quot;_-;\-* #,##0.00\ &quot;€&quot;_-;_-* &quot;-&quot;??\ &quot;€&quot;_-;_-@_-"/>
    <numFmt numFmtId="166" formatCode="_(&quot;$&quot;* #,##0_);_(&quot;$&quot;* \(#,##0\);_(&quot;$&quot;* &quot;-&quot;??_);_(@_)"/>
    <numFmt numFmtId="167" formatCode="&quot;$&quot;#,##0"/>
    <numFmt numFmtId="168" formatCode="[$-F800]dddd\,\ mmmm\ dd\,\ yyyy"/>
    <numFmt numFmtId="169" formatCode="&quot;$&quot;#,##0.00"/>
    <numFmt numFmtId="170" formatCode="_([$$-409]* #,##0_);_([$$-409]* \(#,##0\);_([$$-409]* &quot;-&quot;??_);_(@_)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rgb="FFFFFFFF"/>
      <name val="Calibri"/>
      <family val="2"/>
    </font>
    <font>
      <b/>
      <sz val="20"/>
      <color rgb="FFFFFFFF"/>
      <name val="Calibri"/>
      <family val="2"/>
    </font>
    <font>
      <b/>
      <sz val="14"/>
      <color rgb="FFFFFFFF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2"/>
      <color rgb="FFFF0000"/>
      <name val="Calibri (Body)"/>
    </font>
    <font>
      <b/>
      <sz val="14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2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2"/>
      <color rgb="FFFF0000"/>
      <name val="Calibri"/>
      <family val="2"/>
    </font>
    <font>
      <b/>
      <sz val="14"/>
      <color theme="1"/>
      <name val="Calibri"/>
      <family val="2"/>
    </font>
    <font>
      <sz val="11"/>
      <name val="Aptos Narrow"/>
    </font>
    <font>
      <sz val="11"/>
      <color rgb="FFFF0000"/>
      <name val="Aptos Narrow"/>
    </font>
  </fonts>
  <fills count="3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5C2E4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C00000"/>
        <bgColor theme="5" tint="0.79998168889431442"/>
      </patternFill>
    </fill>
    <fill>
      <patternFill patternType="solid">
        <fgColor rgb="FFFF0000"/>
        <bgColor theme="5" tint="0.79998168889431442"/>
      </patternFill>
    </fill>
    <fill>
      <patternFill patternType="solid">
        <fgColor rgb="FFFFC000"/>
        <bgColor theme="5" tint="0.79998168889431442"/>
      </patternFill>
    </fill>
    <fill>
      <patternFill patternType="solid">
        <fgColor rgb="FFFFFF00"/>
        <bgColor theme="5" tint="0.79998168889431442"/>
      </patternFill>
    </fill>
    <fill>
      <patternFill patternType="solid">
        <fgColor rgb="FF92D050"/>
        <bgColor theme="5" tint="0.79998168889431442"/>
      </patternFill>
    </fill>
    <fill>
      <patternFill patternType="solid">
        <fgColor rgb="FF00B050"/>
        <bgColor theme="5" tint="0.79998168889431442"/>
      </patternFill>
    </fill>
    <fill>
      <patternFill patternType="solid">
        <fgColor rgb="FF00B0F0"/>
        <bgColor theme="5" tint="0.79998168889431442"/>
      </patternFill>
    </fill>
    <fill>
      <patternFill patternType="solid">
        <fgColor rgb="FF0070C0"/>
        <bgColor theme="5" tint="0.79998168889431442"/>
      </patternFill>
    </fill>
    <fill>
      <patternFill patternType="solid">
        <fgColor rgb="FF002060"/>
        <bgColor theme="5" tint="0.79998168889431442"/>
      </patternFill>
    </fill>
    <fill>
      <patternFill patternType="solid">
        <fgColor theme="1"/>
        <bgColor theme="5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theme="5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5" tint="0.39997558519241921"/>
      </bottom>
      <diagonal/>
    </border>
    <border>
      <left style="medium">
        <color indexed="64"/>
      </left>
      <right style="medium">
        <color theme="5" tint="0.39997558519241921"/>
      </right>
      <top style="medium">
        <color indexed="64"/>
      </top>
      <bottom/>
      <diagonal/>
    </border>
    <border>
      <left style="medium">
        <color theme="5" tint="0.3999755851924192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5" tint="0.3999755851924192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medium">
        <color indexed="64"/>
      </left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medium">
        <color indexed="64"/>
      </right>
      <top style="thin">
        <color theme="5" tint="0.39997558519241921"/>
      </top>
      <bottom/>
      <diagonal/>
    </border>
    <border>
      <left style="medium">
        <color indexed="64"/>
      </left>
      <right/>
      <top style="thin">
        <color theme="5" tint="0.39997558519241921"/>
      </top>
      <bottom style="medium">
        <color indexed="6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medium">
        <color indexed="64"/>
      </bottom>
      <diagonal/>
    </border>
    <border>
      <left style="thin">
        <color theme="5" tint="0.39997558519241921"/>
      </left>
      <right style="medium">
        <color theme="5" tint="0.39997558519241921"/>
      </right>
      <top style="thin">
        <color theme="5" tint="0.39997558519241921"/>
      </top>
      <bottom/>
      <diagonal/>
    </border>
    <border>
      <left style="thin">
        <color theme="5" tint="0.39997558519241921"/>
      </left>
      <right style="medium">
        <color indexed="64"/>
      </right>
      <top style="thin">
        <color theme="5" tint="0.39997558519241921"/>
      </top>
      <bottom/>
      <diagonal/>
    </border>
    <border>
      <left style="thin">
        <color theme="5" tint="0.39997558519241921"/>
      </left>
      <right style="medium">
        <color indexed="64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 style="medium">
        <color indexed="64"/>
      </right>
      <top style="thin">
        <color theme="5" tint="0.399975585192419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ED7D31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5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/>
      <right style="medium">
        <color indexed="64"/>
      </right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indexed="64"/>
      </left>
      <right/>
      <top/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 style="thin">
        <color theme="5" tint="0.39997558519241921"/>
      </right>
      <top/>
      <bottom style="thin">
        <color theme="5" tint="0.39997558519241921"/>
      </bottom>
      <diagonal/>
    </border>
    <border>
      <left style="thin">
        <color theme="5" tint="0.39997558519241921"/>
      </left>
      <right/>
      <top/>
      <bottom style="thin">
        <color theme="5" tint="0.39997558519241921"/>
      </bottom>
      <diagonal/>
    </border>
    <border>
      <left/>
      <right style="medium">
        <color indexed="64"/>
      </right>
      <top/>
      <bottom style="thin">
        <color theme="5" tint="0.3999755851924192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5" tint="0.39997558519241921"/>
      </right>
      <top/>
      <bottom style="medium">
        <color indexed="64"/>
      </bottom>
      <diagonal/>
    </border>
    <border>
      <left style="thin">
        <color theme="5" tint="0.3999755851924192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theme="5" tint="0.39997558519241921"/>
      </top>
      <bottom style="medium">
        <color indexed="64"/>
      </bottom>
      <diagonal/>
    </border>
    <border>
      <left/>
      <right style="medium">
        <color theme="5" tint="0.39997558519241921"/>
      </right>
      <top style="thin">
        <color theme="5" tint="0.39997558519241921"/>
      </top>
      <bottom/>
      <diagonal/>
    </border>
    <border>
      <left/>
      <right style="medium">
        <color theme="5" tint="0.39997558519241921"/>
      </right>
      <top/>
      <bottom style="thin">
        <color theme="5" tint="0.39997558519241921"/>
      </bottom>
      <diagonal/>
    </border>
    <border>
      <left style="thin">
        <color theme="5" tint="0.39997558519241921"/>
      </left>
      <right style="medium">
        <color theme="5" tint="0.39997558519241921"/>
      </right>
      <top/>
      <bottom style="thin">
        <color theme="5" tint="0.39997558519241921"/>
      </bottom>
      <diagonal/>
    </border>
    <border>
      <left style="thin">
        <color theme="5" tint="0.39997558519241921"/>
      </left>
      <right style="medium">
        <color indexed="64"/>
      </right>
      <top/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F4B084"/>
      </left>
      <right/>
      <top style="thin">
        <color rgb="FFF4B084"/>
      </top>
      <bottom style="thin">
        <color rgb="FFF4B084"/>
      </bottom>
      <diagonal/>
    </border>
    <border>
      <left/>
      <right/>
      <top style="thin">
        <color rgb="FFF4B084"/>
      </top>
      <bottom style="thin">
        <color rgb="FFF4B084"/>
      </bottom>
      <diagonal/>
    </border>
    <border>
      <left style="thin">
        <color rgb="FFF4B084"/>
      </left>
      <right style="medium">
        <color indexed="64"/>
      </right>
      <top style="thin">
        <color rgb="FFF4B084"/>
      </top>
      <bottom style="thin">
        <color rgb="FFF4B084"/>
      </bottom>
      <diagonal/>
    </border>
    <border>
      <left style="thin">
        <color rgb="FFF4B084"/>
      </left>
      <right style="medium">
        <color indexed="64"/>
      </right>
      <top/>
      <bottom style="thin">
        <color rgb="FFF4B084"/>
      </bottom>
      <diagonal/>
    </border>
    <border>
      <left style="thin">
        <color rgb="FFF4B084"/>
      </left>
      <right/>
      <top/>
      <bottom style="thin">
        <color rgb="FFF4B08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5" fontId="2" fillId="0" borderId="0" applyFont="0" applyFill="0" applyBorder="0" applyAlignment="0" applyProtection="0"/>
    <xf numFmtId="0" fontId="1" fillId="0" borderId="0"/>
  </cellStyleXfs>
  <cellXfs count="34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8" fillId="4" borderId="3" xfId="0" applyFont="1" applyFill="1" applyBorder="1" applyAlignment="1">
      <alignment horizontal="center" vertical="center" wrapText="1"/>
    </xf>
    <xf numFmtId="0" fontId="4" fillId="3" borderId="0" xfId="0" applyFont="1" applyFill="1"/>
    <xf numFmtId="0" fontId="3" fillId="6" borderId="8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/>
    </xf>
    <xf numFmtId="0" fontId="0" fillId="0" borderId="9" xfId="0" applyBorder="1"/>
    <xf numFmtId="166" fontId="10" fillId="2" borderId="15" xfId="1" applyNumberFormat="1" applyFont="1" applyFill="1" applyBorder="1" applyAlignment="1">
      <alignment vertical="center" wrapText="1"/>
    </xf>
    <xf numFmtId="0" fontId="0" fillId="2" borderId="9" xfId="0" applyFill="1" applyBorder="1"/>
    <xf numFmtId="0" fontId="0" fillId="0" borderId="6" xfId="0" applyBorder="1"/>
    <xf numFmtId="166" fontId="10" fillId="2" borderId="14" xfId="1" applyNumberFormat="1" applyFont="1" applyFill="1" applyBorder="1" applyAlignment="1">
      <alignment vertical="center" wrapText="1"/>
    </xf>
    <xf numFmtId="0" fontId="13" fillId="2" borderId="5" xfId="0" applyFont="1" applyFill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0" fillId="2" borderId="12" xfId="0" applyFill="1" applyBorder="1"/>
    <xf numFmtId="166" fontId="10" fillId="2" borderId="17" xfId="1" applyNumberFormat="1" applyFont="1" applyFill="1" applyBorder="1" applyAlignment="1">
      <alignment vertical="center" wrapText="1"/>
    </xf>
    <xf numFmtId="0" fontId="14" fillId="19" borderId="20" xfId="0" applyFont="1" applyFill="1" applyBorder="1" applyAlignment="1">
      <alignment horizontal="center" vertical="center" wrapText="1"/>
    </xf>
    <xf numFmtId="0" fontId="14" fillId="19" borderId="24" xfId="0" applyFont="1" applyFill="1" applyBorder="1" applyAlignment="1">
      <alignment horizontal="center" vertical="center" wrapText="1"/>
    </xf>
    <xf numFmtId="0" fontId="14" fillId="19" borderId="25" xfId="0" applyFont="1" applyFill="1" applyBorder="1" applyAlignment="1">
      <alignment horizontal="center" vertical="center" wrapText="1"/>
    </xf>
    <xf numFmtId="0" fontId="5" fillId="9" borderId="26" xfId="0" applyFont="1" applyFill="1" applyBorder="1" applyAlignment="1">
      <alignment horizontal="center" vertical="center" wrapText="1"/>
    </xf>
    <xf numFmtId="0" fontId="15" fillId="3" borderId="27" xfId="0" applyFont="1" applyFill="1" applyBorder="1" applyAlignment="1">
      <alignment horizontal="center" vertical="center"/>
    </xf>
    <xf numFmtId="166" fontId="15" fillId="3" borderId="28" xfId="1" applyNumberFormat="1" applyFont="1" applyFill="1" applyBorder="1"/>
    <xf numFmtId="0" fontId="5" fillId="10" borderId="29" xfId="0" applyFont="1" applyFill="1" applyBorder="1" applyAlignment="1">
      <alignment horizontal="center" vertical="center" wrapText="1"/>
    </xf>
    <xf numFmtId="0" fontId="15" fillId="3" borderId="27" xfId="0" applyFont="1" applyFill="1" applyBorder="1" applyAlignment="1">
      <alignment vertical="center"/>
    </xf>
    <xf numFmtId="0" fontId="5" fillId="11" borderId="29" xfId="0" applyFont="1" applyFill="1" applyBorder="1" applyAlignment="1">
      <alignment horizontal="center" vertical="center" wrapText="1"/>
    </xf>
    <xf numFmtId="0" fontId="0" fillId="6" borderId="0" xfId="0" applyFill="1"/>
    <xf numFmtId="0" fontId="5" fillId="13" borderId="29" xfId="0" applyFont="1" applyFill="1" applyBorder="1" applyAlignment="1">
      <alignment horizontal="center" vertical="center" wrapText="1"/>
    </xf>
    <xf numFmtId="0" fontId="5" fillId="14" borderId="29" xfId="0" applyFont="1" applyFill="1" applyBorder="1" applyAlignment="1">
      <alignment horizontal="center" vertical="center" wrapText="1"/>
    </xf>
    <xf numFmtId="0" fontId="5" fillId="15" borderId="29" xfId="0" applyFont="1" applyFill="1" applyBorder="1" applyAlignment="1">
      <alignment horizontal="center" vertical="center" wrapText="1"/>
    </xf>
    <xf numFmtId="0" fontId="5" fillId="16" borderId="29" xfId="0" applyFont="1" applyFill="1" applyBorder="1" applyAlignment="1">
      <alignment horizontal="center" vertical="center" wrapText="1"/>
    </xf>
    <xf numFmtId="0" fontId="5" fillId="17" borderId="29" xfId="0" applyFont="1" applyFill="1" applyBorder="1" applyAlignment="1">
      <alignment horizontal="center" vertical="center" wrapText="1"/>
    </xf>
    <xf numFmtId="0" fontId="5" fillId="18" borderId="20" xfId="0" applyFont="1" applyFill="1" applyBorder="1" applyAlignment="1">
      <alignment horizontal="center" vertical="center" wrapText="1"/>
    </xf>
    <xf numFmtId="0" fontId="5" fillId="18" borderId="29" xfId="0" applyFont="1" applyFill="1" applyBorder="1" applyAlignment="1">
      <alignment horizontal="center" vertical="center" wrapText="1"/>
    </xf>
    <xf numFmtId="0" fontId="6" fillId="6" borderId="30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8" fillId="4" borderId="27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 wrapText="1"/>
    </xf>
    <xf numFmtId="0" fontId="17" fillId="4" borderId="32" xfId="0" applyFont="1" applyFill="1" applyBorder="1" applyAlignment="1">
      <alignment horizontal="center" vertical="center" wrapText="1"/>
    </xf>
    <xf numFmtId="0" fontId="17" fillId="4" borderId="33" xfId="0" applyFont="1" applyFill="1" applyBorder="1" applyAlignment="1">
      <alignment horizontal="center" vertical="center" wrapText="1"/>
    </xf>
    <xf numFmtId="0" fontId="10" fillId="20" borderId="34" xfId="0" applyFont="1" applyFill="1" applyBorder="1" applyAlignment="1">
      <alignment horizontal="center" vertical="center" wrapText="1"/>
    </xf>
    <xf numFmtId="168" fontId="10" fillId="20" borderId="30" xfId="0" applyNumberFormat="1" applyFont="1" applyFill="1" applyBorder="1" applyAlignment="1">
      <alignment horizontal="left" vertical="center" wrapText="1"/>
    </xf>
    <xf numFmtId="0" fontId="10" fillId="21" borderId="30" xfId="0" applyFont="1" applyFill="1" applyBorder="1" applyAlignment="1">
      <alignment horizontal="center" vertical="center" wrapText="1"/>
    </xf>
    <xf numFmtId="0" fontId="10" fillId="20" borderId="30" xfId="0" applyFont="1" applyFill="1" applyBorder="1" applyAlignment="1">
      <alignment horizontal="center" vertical="center" wrapText="1"/>
    </xf>
    <xf numFmtId="169" fontId="10" fillId="20" borderId="31" xfId="0" applyNumberFormat="1" applyFont="1" applyFill="1" applyBorder="1" applyAlignment="1">
      <alignment horizontal="center" vertical="center" wrapText="1"/>
    </xf>
    <xf numFmtId="0" fontId="10" fillId="20" borderId="29" xfId="0" applyFont="1" applyFill="1" applyBorder="1" applyAlignment="1">
      <alignment horizontal="center" vertical="center" wrapText="1"/>
    </xf>
    <xf numFmtId="168" fontId="10" fillId="20" borderId="27" xfId="0" applyNumberFormat="1" applyFont="1" applyFill="1" applyBorder="1" applyAlignment="1">
      <alignment horizontal="left" vertical="center" wrapText="1"/>
    </xf>
    <xf numFmtId="0" fontId="10" fillId="21" borderId="27" xfId="0" applyFont="1" applyFill="1" applyBorder="1" applyAlignment="1">
      <alignment horizontal="center" vertical="center" wrapText="1"/>
    </xf>
    <xf numFmtId="0" fontId="10" fillId="20" borderId="27" xfId="0" applyFont="1" applyFill="1" applyBorder="1" applyAlignment="1">
      <alignment horizontal="center" vertical="center" wrapText="1"/>
    </xf>
    <xf numFmtId="169" fontId="10" fillId="20" borderId="28" xfId="0" applyNumberFormat="1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/>
    </xf>
    <xf numFmtId="0" fontId="10" fillId="20" borderId="20" xfId="0" applyFont="1" applyFill="1" applyBorder="1" applyAlignment="1">
      <alignment horizontal="center" vertical="center" wrapText="1"/>
    </xf>
    <xf numFmtId="0" fontId="10" fillId="21" borderId="32" xfId="0" applyFont="1" applyFill="1" applyBorder="1" applyAlignment="1">
      <alignment horizontal="center" vertical="center" wrapText="1"/>
    </xf>
    <xf numFmtId="0" fontId="10" fillId="20" borderId="32" xfId="0" applyFont="1" applyFill="1" applyBorder="1" applyAlignment="1">
      <alignment horizontal="center" vertical="center" wrapText="1"/>
    </xf>
    <xf numFmtId="169" fontId="10" fillId="20" borderId="33" xfId="0" applyNumberFormat="1" applyFont="1" applyFill="1" applyBorder="1" applyAlignment="1">
      <alignment horizontal="center" vertical="center" wrapText="1"/>
    </xf>
    <xf numFmtId="169" fontId="4" fillId="3" borderId="33" xfId="0" applyNumberFormat="1" applyFont="1" applyFill="1" applyBorder="1" applyAlignment="1">
      <alignment vertical="center"/>
    </xf>
    <xf numFmtId="0" fontId="10" fillId="20" borderId="26" xfId="0" applyFont="1" applyFill="1" applyBorder="1" applyAlignment="1">
      <alignment horizontal="center" vertical="center" wrapText="1"/>
    </xf>
    <xf numFmtId="0" fontId="10" fillId="21" borderId="39" xfId="0" applyFont="1" applyFill="1" applyBorder="1" applyAlignment="1">
      <alignment horizontal="center" vertical="center" wrapText="1"/>
    </xf>
    <xf numFmtId="0" fontId="10" fillId="20" borderId="39" xfId="0" applyFont="1" applyFill="1" applyBorder="1" applyAlignment="1">
      <alignment horizontal="center" vertical="center" wrapText="1"/>
    </xf>
    <xf numFmtId="169" fontId="10" fillId="20" borderId="40" xfId="0" applyNumberFormat="1" applyFont="1" applyFill="1" applyBorder="1" applyAlignment="1">
      <alignment horizontal="center" vertical="center" wrapText="1"/>
    </xf>
    <xf numFmtId="0" fontId="17" fillId="4" borderId="29" xfId="0" applyFont="1" applyFill="1" applyBorder="1" applyAlignment="1">
      <alignment horizontal="center" vertical="center" wrapText="1"/>
    </xf>
    <xf numFmtId="0" fontId="14" fillId="4" borderId="27" xfId="0" applyFont="1" applyFill="1" applyBorder="1" applyAlignment="1">
      <alignment horizontal="left" vertical="center" wrapText="1"/>
    </xf>
    <xf numFmtId="0" fontId="14" fillId="4" borderId="27" xfId="0" applyFont="1" applyFill="1" applyBorder="1" applyAlignment="1">
      <alignment horizontal="center" vertical="center" wrapText="1"/>
    </xf>
    <xf numFmtId="0" fontId="14" fillId="4" borderId="28" xfId="0" applyFont="1" applyFill="1" applyBorder="1" applyAlignment="1">
      <alignment horizontal="center" vertical="center" wrapText="1"/>
    </xf>
    <xf numFmtId="0" fontId="17" fillId="4" borderId="32" xfId="0" applyFont="1" applyFill="1" applyBorder="1" applyAlignment="1">
      <alignment horizontal="left" vertical="center" wrapText="1"/>
    </xf>
    <xf numFmtId="0" fontId="18" fillId="21" borderId="32" xfId="0" applyFont="1" applyFill="1" applyBorder="1" applyAlignment="1">
      <alignment horizontal="center" vertical="center" wrapText="1"/>
    </xf>
    <xf numFmtId="166" fontId="18" fillId="21" borderId="33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3" borderId="41" xfId="0" applyFill="1" applyBorder="1"/>
    <xf numFmtId="170" fontId="10" fillId="2" borderId="15" xfId="1" applyNumberFormat="1" applyFont="1" applyFill="1" applyBorder="1" applyAlignment="1">
      <alignment vertical="center" wrapText="1"/>
    </xf>
    <xf numFmtId="0" fontId="0" fillId="22" borderId="0" xfId="0" applyFill="1"/>
    <xf numFmtId="0" fontId="3" fillId="6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0" fillId="22" borderId="27" xfId="0" applyFill="1" applyBorder="1" applyAlignment="1">
      <alignment vertical="center"/>
    </xf>
    <xf numFmtId="0" fontId="0" fillId="22" borderId="27" xfId="0" applyFill="1" applyBorder="1" applyAlignment="1">
      <alignment horizontal="center" vertical="center"/>
    </xf>
    <xf numFmtId="166" fontId="0" fillId="22" borderId="28" xfId="1" applyNumberFormat="1" applyFont="1" applyFill="1" applyBorder="1"/>
    <xf numFmtId="0" fontId="5" fillId="9" borderId="29" xfId="0" applyFont="1" applyFill="1" applyBorder="1" applyAlignment="1">
      <alignment horizontal="center" vertical="center" wrapText="1"/>
    </xf>
    <xf numFmtId="0" fontId="0" fillId="0" borderId="27" xfId="0" applyBorder="1" applyAlignment="1">
      <alignment vertical="center"/>
    </xf>
    <xf numFmtId="0" fontId="0" fillId="0" borderId="27" xfId="0" applyBorder="1" applyAlignment="1">
      <alignment horizontal="center" vertical="center"/>
    </xf>
    <xf numFmtId="166" fontId="0" fillId="0" borderId="28" xfId="1" applyNumberFormat="1" applyFont="1" applyBorder="1"/>
    <xf numFmtId="0" fontId="19" fillId="3" borderId="27" xfId="0" applyFont="1" applyFill="1" applyBorder="1" applyAlignment="1">
      <alignment vertical="center"/>
    </xf>
    <xf numFmtId="0" fontId="19" fillId="3" borderId="27" xfId="0" applyFont="1" applyFill="1" applyBorder="1" applyAlignment="1">
      <alignment horizontal="center" vertical="center"/>
    </xf>
    <xf numFmtId="166" fontId="19" fillId="3" borderId="28" xfId="1" applyNumberFormat="1" applyFont="1" applyFill="1" applyBorder="1"/>
    <xf numFmtId="0" fontId="5" fillId="22" borderId="29" xfId="0" applyFont="1" applyFill="1" applyBorder="1" applyAlignment="1">
      <alignment horizontal="center" vertical="center" wrapText="1"/>
    </xf>
    <xf numFmtId="0" fontId="0" fillId="12" borderId="29" xfId="0" applyFill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0" fillId="0" borderId="32" xfId="0" applyBorder="1" applyAlignment="1">
      <alignment horizontal="center" vertical="center"/>
    </xf>
    <xf numFmtId="166" fontId="0" fillId="0" borderId="33" xfId="1" applyNumberFormat="1" applyFont="1" applyBorder="1"/>
    <xf numFmtId="0" fontId="5" fillId="23" borderId="20" xfId="0" applyFont="1" applyFill="1" applyBorder="1" applyAlignment="1">
      <alignment horizontal="center" vertical="center" wrapText="1"/>
    </xf>
    <xf numFmtId="0" fontId="0" fillId="22" borderId="32" xfId="0" applyFill="1" applyBorder="1" applyAlignment="1">
      <alignment vertical="center"/>
    </xf>
    <xf numFmtId="0" fontId="0" fillId="22" borderId="32" xfId="0" applyFill="1" applyBorder="1" applyAlignment="1">
      <alignment horizontal="center" vertical="center"/>
    </xf>
    <xf numFmtId="0" fontId="5" fillId="23" borderId="72" xfId="0" applyFont="1" applyFill="1" applyBorder="1" applyAlignment="1">
      <alignment horizontal="center" vertical="center" wrapText="1"/>
    </xf>
    <xf numFmtId="0" fontId="0" fillId="22" borderId="55" xfId="0" applyFill="1" applyBorder="1" applyAlignment="1">
      <alignment vertical="center"/>
    </xf>
    <xf numFmtId="0" fontId="0" fillId="22" borderId="73" xfId="0" applyFill="1" applyBorder="1" applyAlignment="1">
      <alignment vertical="center"/>
    </xf>
    <xf numFmtId="0" fontId="0" fillId="22" borderId="74" xfId="0" applyFill="1" applyBorder="1" applyAlignment="1">
      <alignment horizontal="left" vertical="center"/>
    </xf>
    <xf numFmtId="0" fontId="0" fillId="22" borderId="55" xfId="0" applyFill="1" applyBorder="1" applyAlignment="1">
      <alignment horizontal="left" vertical="center"/>
    </xf>
    <xf numFmtId="0" fontId="0" fillId="22" borderId="73" xfId="0" applyFill="1" applyBorder="1" applyAlignment="1">
      <alignment horizontal="left" vertical="center"/>
    </xf>
    <xf numFmtId="0" fontId="5" fillId="22" borderId="72" xfId="0" applyFont="1" applyFill="1" applyBorder="1" applyAlignment="1">
      <alignment horizontal="center" vertical="center" wrapText="1"/>
    </xf>
    <xf numFmtId="0" fontId="10" fillId="24" borderId="72" xfId="0" applyFont="1" applyFill="1" applyBorder="1" applyAlignment="1">
      <alignment horizontal="center" vertical="center" wrapText="1"/>
    </xf>
    <xf numFmtId="166" fontId="0" fillId="22" borderId="33" xfId="1" applyNumberFormat="1" applyFont="1" applyFill="1" applyBorder="1"/>
    <xf numFmtId="0" fontId="15" fillId="25" borderId="32" xfId="0" applyFont="1" applyFill="1" applyBorder="1" applyAlignment="1">
      <alignment horizontal="center" vertical="center"/>
    </xf>
    <xf numFmtId="0" fontId="15" fillId="25" borderId="32" xfId="0" applyFont="1" applyFill="1" applyBorder="1" applyAlignment="1">
      <alignment vertical="center"/>
    </xf>
    <xf numFmtId="166" fontId="15" fillId="25" borderId="33" xfId="1" applyNumberFormat="1" applyFont="1" applyFill="1" applyBorder="1"/>
    <xf numFmtId="0" fontId="14" fillId="19" borderId="76" xfId="0" applyFont="1" applyFill="1" applyBorder="1" applyAlignment="1">
      <alignment horizontal="center" vertical="center" wrapText="1"/>
    </xf>
    <xf numFmtId="0" fontId="14" fillId="19" borderId="77" xfId="0" applyFont="1" applyFill="1" applyBorder="1" applyAlignment="1">
      <alignment horizontal="center" vertical="center" wrapText="1"/>
    </xf>
    <xf numFmtId="166" fontId="14" fillId="19" borderId="78" xfId="0" applyNumberFormat="1" applyFont="1" applyFill="1" applyBorder="1" applyAlignment="1">
      <alignment horizontal="center" vertical="center" wrapText="1"/>
    </xf>
    <xf numFmtId="168" fontId="10" fillId="20" borderId="32" xfId="0" applyNumberFormat="1" applyFont="1" applyFill="1" applyBorder="1" applyAlignment="1">
      <alignment horizontal="left" vertical="center" wrapText="1"/>
    </xf>
    <xf numFmtId="168" fontId="10" fillId="20" borderId="39" xfId="0" applyNumberFormat="1" applyFont="1" applyFill="1" applyBorder="1" applyAlignment="1">
      <alignment horizontal="left" vertical="center" wrapText="1"/>
    </xf>
    <xf numFmtId="0" fontId="16" fillId="3" borderId="0" xfId="0" applyFont="1" applyFill="1" applyAlignment="1">
      <alignment vertical="center"/>
    </xf>
    <xf numFmtId="0" fontId="15" fillId="3" borderId="22" xfId="0" applyFont="1" applyFill="1" applyBorder="1" applyAlignment="1">
      <alignment horizontal="left" vertical="center"/>
    </xf>
    <xf numFmtId="0" fontId="15" fillId="3" borderId="23" xfId="0" applyFont="1" applyFill="1" applyBorder="1" applyAlignment="1">
      <alignment horizontal="left" vertical="center"/>
    </xf>
    <xf numFmtId="0" fontId="21" fillId="0" borderId="79" xfId="0" applyFont="1" applyBorder="1" applyAlignment="1">
      <alignment horizontal="center"/>
    </xf>
    <xf numFmtId="0" fontId="21" fillId="0" borderId="83" xfId="0" applyFont="1" applyBorder="1" applyAlignment="1">
      <alignment horizontal="center"/>
    </xf>
    <xf numFmtId="0" fontId="14" fillId="19" borderId="68" xfId="0" applyFont="1" applyFill="1" applyBorder="1" applyAlignment="1">
      <alignment horizontal="center" vertical="center" wrapText="1"/>
    </xf>
    <xf numFmtId="164" fontId="21" fillId="26" borderId="81" xfId="0" applyNumberFormat="1" applyFont="1" applyFill="1" applyBorder="1" applyAlignment="1">
      <alignment horizontal="center" wrapText="1"/>
    </xf>
    <xf numFmtId="164" fontId="21" fillId="26" borderId="82" xfId="0" applyNumberFormat="1" applyFont="1" applyFill="1" applyBorder="1" applyAlignment="1">
      <alignment horizontal="center" wrapText="1"/>
    </xf>
    <xf numFmtId="0" fontId="15" fillId="3" borderId="23" xfId="0" applyFont="1" applyFill="1" applyBorder="1" applyAlignment="1">
      <alignment vertical="center"/>
    </xf>
    <xf numFmtId="0" fontId="25" fillId="26" borderId="23" xfId="0" applyFont="1" applyFill="1" applyBorder="1"/>
    <xf numFmtId="0" fontId="25" fillId="26" borderId="85" xfId="0" applyFont="1" applyFill="1" applyBorder="1"/>
    <xf numFmtId="0" fontId="5" fillId="9" borderId="86" xfId="0" applyFont="1" applyFill="1" applyBorder="1" applyAlignment="1">
      <alignment horizontal="center" vertical="center" wrapText="1"/>
    </xf>
    <xf numFmtId="0" fontId="5" fillId="10" borderId="36" xfId="0" applyFont="1" applyFill="1" applyBorder="1" applyAlignment="1">
      <alignment horizontal="center" vertical="center" wrapText="1"/>
    </xf>
    <xf numFmtId="0" fontId="5" fillId="11" borderId="36" xfId="0" applyFont="1" applyFill="1" applyBorder="1" applyAlignment="1">
      <alignment horizontal="center" vertical="center" wrapText="1"/>
    </xf>
    <xf numFmtId="0" fontId="5" fillId="12" borderId="36" xfId="0" applyFont="1" applyFill="1" applyBorder="1" applyAlignment="1">
      <alignment horizontal="center" vertical="center" wrapText="1"/>
    </xf>
    <xf numFmtId="0" fontId="5" fillId="13" borderId="36" xfId="0" applyFont="1" applyFill="1" applyBorder="1" applyAlignment="1">
      <alignment horizontal="center" vertical="center" wrapText="1"/>
    </xf>
    <xf numFmtId="0" fontId="5" fillId="14" borderId="36" xfId="0" applyFont="1" applyFill="1" applyBorder="1" applyAlignment="1">
      <alignment horizontal="center" vertical="center" wrapText="1"/>
    </xf>
    <xf numFmtId="0" fontId="5" fillId="15" borderId="36" xfId="0" applyFont="1" applyFill="1" applyBorder="1" applyAlignment="1">
      <alignment horizontal="center" vertical="center" wrapText="1"/>
    </xf>
    <xf numFmtId="0" fontId="5" fillId="16" borderId="36" xfId="0" applyFont="1" applyFill="1" applyBorder="1" applyAlignment="1">
      <alignment horizontal="center" vertical="center" wrapText="1"/>
    </xf>
    <xf numFmtId="0" fontId="5" fillId="17" borderId="36" xfId="0" applyFont="1" applyFill="1" applyBorder="1" applyAlignment="1">
      <alignment horizontal="center" vertical="center" wrapText="1"/>
    </xf>
    <xf numFmtId="0" fontId="15" fillId="3" borderId="87" xfId="0" applyFont="1" applyFill="1" applyBorder="1" applyAlignment="1">
      <alignment horizontal="left" vertical="center"/>
    </xf>
    <xf numFmtId="0" fontId="15" fillId="3" borderId="88" xfId="0" applyFont="1" applyFill="1" applyBorder="1" applyAlignment="1">
      <alignment horizontal="left" vertical="center"/>
    </xf>
    <xf numFmtId="0" fontId="15" fillId="3" borderId="89" xfId="0" applyFont="1" applyFill="1" applyBorder="1" applyAlignment="1">
      <alignment horizontal="left" vertical="center"/>
    </xf>
    <xf numFmtId="0" fontId="15" fillId="3" borderId="90" xfId="0" applyFont="1" applyFill="1" applyBorder="1" applyAlignment="1">
      <alignment horizontal="left" vertical="center"/>
    </xf>
    <xf numFmtId="0" fontId="15" fillId="3" borderId="91" xfId="0" applyFont="1" applyFill="1" applyBorder="1" applyAlignment="1">
      <alignment horizontal="left" vertical="center"/>
    </xf>
    <xf numFmtId="0" fontId="5" fillId="27" borderId="36" xfId="0" applyFont="1" applyFill="1" applyBorder="1" applyAlignment="1">
      <alignment horizontal="center" vertical="center" wrapText="1"/>
    </xf>
    <xf numFmtId="0" fontId="15" fillId="3" borderId="97" xfId="0" applyFont="1" applyFill="1" applyBorder="1" applyAlignment="1">
      <alignment horizontal="left" vertical="center"/>
    </xf>
    <xf numFmtId="0" fontId="15" fillId="3" borderId="67" xfId="0" applyFont="1" applyFill="1" applyBorder="1" applyAlignment="1">
      <alignment horizontal="left" vertical="center"/>
    </xf>
    <xf numFmtId="0" fontId="15" fillId="3" borderId="98" xfId="0" applyFont="1" applyFill="1" applyBorder="1" applyAlignment="1">
      <alignment horizontal="left" vertical="center"/>
    </xf>
    <xf numFmtId="0" fontId="5" fillId="28" borderId="36" xfId="0" applyFont="1" applyFill="1" applyBorder="1" applyAlignment="1">
      <alignment horizontal="center" vertical="center" wrapText="1"/>
    </xf>
    <xf numFmtId="0" fontId="5" fillId="29" borderId="36" xfId="0" applyFont="1" applyFill="1" applyBorder="1" applyAlignment="1">
      <alignment horizontal="center" vertical="center" wrapText="1"/>
    </xf>
    <xf numFmtId="0" fontId="25" fillId="26" borderId="22" xfId="0" applyFont="1" applyFill="1" applyBorder="1"/>
    <xf numFmtId="0" fontId="10" fillId="2" borderId="9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/>
    </xf>
    <xf numFmtId="167" fontId="9" fillId="7" borderId="6" xfId="1" applyNumberFormat="1" applyFont="1" applyFill="1" applyBorder="1" applyAlignment="1">
      <alignment horizontal="center" vertical="center"/>
    </xf>
    <xf numFmtId="0" fontId="24" fillId="5" borderId="7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167" fontId="12" fillId="3" borderId="6" xfId="1" applyNumberFormat="1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166" fontId="7" fillId="4" borderId="2" xfId="1" applyNumberFormat="1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167" fontId="9" fillId="3" borderId="6" xfId="1" applyNumberFormat="1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left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21" fillId="0" borderId="79" xfId="0" applyFont="1" applyBorder="1" applyAlignment="1">
      <alignment horizontal="center"/>
    </xf>
    <xf numFmtId="0" fontId="21" fillId="0" borderId="80" xfId="0" applyFont="1" applyBorder="1" applyAlignment="1">
      <alignment horizontal="center"/>
    </xf>
    <xf numFmtId="0" fontId="8" fillId="8" borderId="1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21" fillId="26" borderId="79" xfId="0" applyFont="1" applyFill="1" applyBorder="1" applyAlignment="1">
      <alignment wrapText="1"/>
    </xf>
    <xf numFmtId="0" fontId="21" fillId="26" borderId="80" xfId="0" applyFont="1" applyFill="1" applyBorder="1" applyAlignment="1">
      <alignment wrapText="1"/>
    </xf>
    <xf numFmtId="0" fontId="5" fillId="13" borderId="8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5" fillId="16" borderId="8" xfId="0" applyFont="1" applyFill="1" applyBorder="1" applyAlignment="1">
      <alignment horizontal="center" vertical="center" wrapText="1"/>
    </xf>
    <xf numFmtId="0" fontId="0" fillId="0" borderId="64" xfId="0" applyBorder="1" applyAlignment="1">
      <alignment horizontal="center"/>
    </xf>
    <xf numFmtId="0" fontId="0" fillId="0" borderId="16" xfId="0" applyBorder="1" applyAlignment="1">
      <alignment horizontal="center"/>
    </xf>
    <xf numFmtId="0" fontId="5" fillId="17" borderId="8" xfId="0" applyFont="1" applyFill="1" applyBorder="1" applyAlignment="1">
      <alignment horizontal="center" vertical="center" wrapText="1"/>
    </xf>
    <xf numFmtId="0" fontId="5" fillId="14" borderId="8" xfId="0" applyFont="1" applyFill="1" applyBorder="1" applyAlignment="1">
      <alignment horizontal="center" vertical="center" wrapText="1"/>
    </xf>
    <xf numFmtId="0" fontId="21" fillId="0" borderId="9" xfId="0" applyFont="1" applyBorder="1" applyAlignment="1">
      <alignment horizontal="center"/>
    </xf>
    <xf numFmtId="0" fontId="5" fillId="15" borderId="8" xfId="0" applyFont="1" applyFill="1" applyBorder="1" applyAlignment="1">
      <alignment horizontal="center" vertical="center" wrapText="1"/>
    </xf>
    <xf numFmtId="0" fontId="5" fillId="18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13" fillId="2" borderId="11" xfId="0" applyFont="1" applyFill="1" applyBorder="1" applyAlignment="1">
      <alignment horizontal="left" vertical="center" wrapText="1"/>
    </xf>
    <xf numFmtId="0" fontId="6" fillId="19" borderId="18" xfId="0" applyFont="1" applyFill="1" applyBorder="1" applyAlignment="1">
      <alignment horizontal="center" vertical="center" wrapText="1"/>
    </xf>
    <xf numFmtId="0" fontId="6" fillId="19" borderId="19" xfId="0" applyFont="1" applyFill="1" applyBorder="1" applyAlignment="1">
      <alignment horizontal="center" vertical="center" wrapText="1"/>
    </xf>
    <xf numFmtId="0" fontId="7" fillId="19" borderId="19" xfId="0" applyFont="1" applyFill="1" applyBorder="1" applyAlignment="1">
      <alignment horizontal="center" vertical="center" wrapText="1"/>
    </xf>
    <xf numFmtId="0" fontId="5" fillId="27" borderId="16" xfId="0" applyFont="1" applyFill="1" applyBorder="1" applyAlignment="1">
      <alignment horizontal="center" vertical="center" wrapText="1"/>
    </xf>
    <xf numFmtId="0" fontId="5" fillId="28" borderId="16" xfId="0" applyFont="1" applyFill="1" applyBorder="1" applyAlignment="1">
      <alignment horizontal="center" vertical="center" wrapText="1"/>
    </xf>
    <xf numFmtId="0" fontId="5" fillId="29" borderId="16" xfId="0" applyFont="1" applyFill="1" applyBorder="1" applyAlignment="1">
      <alignment horizontal="center" vertical="center" wrapText="1"/>
    </xf>
    <xf numFmtId="0" fontId="25" fillId="26" borderId="90" xfId="0" applyFont="1" applyFill="1" applyBorder="1"/>
    <xf numFmtId="0" fontId="25" fillId="26" borderId="22" xfId="0" applyFont="1" applyFill="1" applyBorder="1"/>
    <xf numFmtId="0" fontId="25" fillId="26" borderId="91" xfId="0" applyFont="1" applyFill="1" applyBorder="1"/>
    <xf numFmtId="0" fontId="25" fillId="26" borderId="23" xfId="0" applyFont="1" applyFill="1" applyBorder="1"/>
    <xf numFmtId="14" fontId="15" fillId="3" borderId="27" xfId="0" applyNumberFormat="1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14" fillId="19" borderId="21" xfId="0" applyFont="1" applyFill="1" applyBorder="1" applyAlignment="1">
      <alignment horizontal="center" vertical="center" wrapText="1"/>
    </xf>
    <xf numFmtId="0" fontId="14" fillId="19" borderId="22" xfId="0" applyFont="1" applyFill="1" applyBorder="1" applyAlignment="1">
      <alignment horizontal="center" vertical="center" wrapText="1"/>
    </xf>
    <xf numFmtId="0" fontId="14" fillId="19" borderId="23" xfId="0" applyFont="1" applyFill="1" applyBorder="1" applyAlignment="1">
      <alignment horizontal="center" vertical="center" wrapText="1"/>
    </xf>
    <xf numFmtId="0" fontId="25" fillId="26" borderId="87" xfId="0" applyFont="1" applyFill="1" applyBorder="1"/>
    <xf numFmtId="0" fontId="25" fillId="26" borderId="88" xfId="0" applyFont="1" applyFill="1" applyBorder="1"/>
    <xf numFmtId="0" fontId="25" fillId="26" borderId="89" xfId="0" applyFont="1" applyFill="1" applyBorder="1"/>
    <xf numFmtId="0" fontId="25" fillId="26" borderId="84" xfId="0" applyFont="1" applyFill="1" applyBorder="1"/>
    <xf numFmtId="0" fontId="15" fillId="3" borderId="92" xfId="0" applyFont="1" applyFill="1" applyBorder="1" applyAlignment="1">
      <alignment vertical="center"/>
    </xf>
    <xf numFmtId="0" fontId="15" fillId="3" borderId="24" xfId="0" applyFont="1" applyFill="1" applyBorder="1" applyAlignment="1">
      <alignment vertical="center"/>
    </xf>
    <xf numFmtId="0" fontId="15" fillId="3" borderId="93" xfId="0" applyFont="1" applyFill="1" applyBorder="1" applyAlignment="1">
      <alignment vertical="center"/>
    </xf>
    <xf numFmtId="0" fontId="25" fillId="26" borderId="94" xfId="0" applyFont="1" applyFill="1" applyBorder="1"/>
    <xf numFmtId="0" fontId="25" fillId="26" borderId="95" xfId="0" applyFont="1" applyFill="1" applyBorder="1"/>
    <xf numFmtId="0" fontId="25" fillId="26" borderId="96" xfId="0" applyFont="1" applyFill="1" applyBorder="1"/>
    <xf numFmtId="0" fontId="15" fillId="3" borderId="39" xfId="0" applyFont="1" applyFill="1" applyBorder="1" applyAlignment="1">
      <alignment vertical="center"/>
    </xf>
    <xf numFmtId="0" fontId="25" fillId="26" borderId="113" xfId="0" applyFont="1" applyFill="1" applyBorder="1"/>
    <xf numFmtId="0" fontId="25" fillId="26" borderId="114" xfId="0" applyFont="1" applyFill="1" applyBorder="1"/>
    <xf numFmtId="0" fontId="25" fillId="26" borderId="115" xfId="0" applyFont="1" applyFill="1" applyBorder="1"/>
    <xf numFmtId="0" fontId="25" fillId="26" borderId="113" xfId="0" applyFont="1" applyFill="1" applyBorder="1" applyAlignment="1">
      <alignment horizontal="left"/>
    </xf>
    <xf numFmtId="0" fontId="25" fillId="26" borderId="114" xfId="0" applyFont="1" applyFill="1" applyBorder="1" applyAlignment="1">
      <alignment horizontal="left"/>
    </xf>
    <xf numFmtId="0" fontId="25" fillId="26" borderId="115" xfId="0" applyFont="1" applyFill="1" applyBorder="1" applyAlignment="1">
      <alignment horizontal="left"/>
    </xf>
    <xf numFmtId="0" fontId="15" fillId="3" borderId="21" xfId="0" applyFont="1" applyFill="1" applyBorder="1" applyAlignment="1">
      <alignment vertical="center"/>
    </xf>
    <xf numFmtId="0" fontId="15" fillId="3" borderId="22" xfId="0" applyFont="1" applyFill="1" applyBorder="1" applyAlignment="1">
      <alignment vertical="center"/>
    </xf>
    <xf numFmtId="0" fontId="15" fillId="3" borderId="23" xfId="0" applyFont="1" applyFill="1" applyBorder="1" applyAlignment="1">
      <alignment vertical="center"/>
    </xf>
    <xf numFmtId="0" fontId="25" fillId="26" borderId="97" xfId="0" applyFont="1" applyFill="1" applyBorder="1"/>
    <xf numFmtId="0" fontId="25" fillId="26" borderId="67" xfId="0" applyFont="1" applyFill="1" applyBorder="1"/>
    <xf numFmtId="0" fontId="25" fillId="26" borderId="98" xfId="0" applyFont="1" applyFill="1" applyBorder="1"/>
    <xf numFmtId="0" fontId="26" fillId="26" borderId="113" xfId="0" applyFont="1" applyFill="1" applyBorder="1" applyAlignment="1">
      <alignment horizontal="left"/>
    </xf>
    <xf numFmtId="0" fontId="26" fillId="26" borderId="114" xfId="0" applyFont="1" applyFill="1" applyBorder="1" applyAlignment="1">
      <alignment horizontal="left"/>
    </xf>
    <xf numFmtId="0" fontId="26" fillId="26" borderId="115" xfId="0" applyFont="1" applyFill="1" applyBorder="1" applyAlignment="1">
      <alignment horizontal="left"/>
    </xf>
    <xf numFmtId="0" fontId="25" fillId="26" borderId="110" xfId="0" applyFont="1" applyFill="1" applyBorder="1"/>
    <xf numFmtId="0" fontId="25" fillId="26" borderId="111" xfId="0" applyFont="1" applyFill="1" applyBorder="1"/>
    <xf numFmtId="0" fontId="25" fillId="26" borderId="112" xfId="0" applyFont="1" applyFill="1" applyBorder="1"/>
    <xf numFmtId="0" fontId="15" fillId="3" borderId="101" xfId="0" applyFont="1" applyFill="1" applyBorder="1" applyAlignment="1">
      <alignment vertical="center"/>
    </xf>
    <xf numFmtId="0" fontId="15" fillId="3" borderId="102" xfId="0" applyFont="1" applyFill="1" applyBorder="1" applyAlignment="1">
      <alignment vertical="center"/>
    </xf>
    <xf numFmtId="0" fontId="15" fillId="3" borderId="103" xfId="0" applyFont="1" applyFill="1" applyBorder="1" applyAlignment="1">
      <alignment vertical="center"/>
    </xf>
    <xf numFmtId="0" fontId="15" fillId="3" borderId="99" xfId="0" applyFont="1" applyFill="1" applyBorder="1" applyAlignment="1">
      <alignment vertical="center"/>
    </xf>
    <xf numFmtId="0" fontId="15" fillId="3" borderId="100" xfId="0" applyFont="1" applyFill="1" applyBorder="1" applyAlignment="1">
      <alignment vertical="center"/>
    </xf>
    <xf numFmtId="0" fontId="15" fillId="3" borderId="107" xfId="0" applyFont="1" applyFill="1" applyBorder="1" applyAlignment="1">
      <alignment vertical="center"/>
    </xf>
    <xf numFmtId="0" fontId="15" fillId="3" borderId="108" xfId="0" applyFont="1" applyFill="1" applyBorder="1" applyAlignment="1">
      <alignment vertical="center"/>
    </xf>
    <xf numFmtId="0" fontId="15" fillId="3" borderId="109" xfId="0" applyFont="1" applyFill="1" applyBorder="1" applyAlignment="1">
      <alignment vertical="center"/>
    </xf>
    <xf numFmtId="0" fontId="15" fillId="3" borderId="104" xfId="0" applyFont="1" applyFill="1" applyBorder="1" applyAlignment="1">
      <alignment vertical="center"/>
    </xf>
    <xf numFmtId="0" fontId="15" fillId="3" borderId="105" xfId="0" applyFont="1" applyFill="1" applyBorder="1" applyAlignment="1">
      <alignment vertical="center"/>
    </xf>
    <xf numFmtId="0" fontId="15" fillId="3" borderId="106" xfId="0" applyFont="1" applyFill="1" applyBorder="1" applyAlignment="1">
      <alignment vertical="center"/>
    </xf>
    <xf numFmtId="0" fontId="14" fillId="4" borderId="18" xfId="0" applyFont="1" applyFill="1" applyBorder="1" applyAlignment="1">
      <alignment horizontal="center" vertical="center" wrapText="1"/>
    </xf>
    <xf numFmtId="0" fontId="14" fillId="4" borderId="19" xfId="0" applyFont="1" applyFill="1" applyBorder="1" applyAlignment="1">
      <alignment horizontal="center" vertical="center" wrapText="1"/>
    </xf>
    <xf numFmtId="0" fontId="14" fillId="4" borderId="35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6" fillId="6" borderId="42" xfId="0" applyFont="1" applyFill="1" applyBorder="1" applyAlignment="1">
      <alignment horizontal="center" vertical="center" wrapText="1"/>
    </xf>
    <xf numFmtId="0" fontId="6" fillId="6" borderId="19" xfId="0" applyFont="1" applyFill="1" applyBorder="1" applyAlignment="1">
      <alignment horizontal="center" vertical="center" wrapText="1"/>
    </xf>
    <xf numFmtId="0" fontId="6" fillId="6" borderId="43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3" borderId="37" xfId="0" applyFont="1" applyFill="1" applyBorder="1" applyAlignment="1">
      <alignment horizontal="center"/>
    </xf>
    <xf numFmtId="0" fontId="4" fillId="3" borderId="38" xfId="0" applyFont="1" applyFill="1" applyBorder="1" applyAlignment="1">
      <alignment horizontal="center"/>
    </xf>
    <xf numFmtId="0" fontId="10" fillId="2" borderId="48" xfId="0" applyFont="1" applyFill="1" applyBorder="1" applyAlignment="1">
      <alignment horizontal="center" vertical="center" wrapText="1"/>
    </xf>
    <xf numFmtId="0" fontId="9" fillId="5" borderId="47" xfId="0" applyFont="1" applyFill="1" applyBorder="1" applyAlignment="1">
      <alignment horizontal="center" vertical="center"/>
    </xf>
    <xf numFmtId="0" fontId="9" fillId="5" borderId="54" xfId="0" applyFont="1" applyFill="1" applyBorder="1" applyAlignment="1">
      <alignment horizontal="center" vertical="center"/>
    </xf>
    <xf numFmtId="0" fontId="9" fillId="5" borderId="55" xfId="0" applyFont="1" applyFill="1" applyBorder="1" applyAlignment="1">
      <alignment horizontal="center" vertical="center"/>
    </xf>
    <xf numFmtId="0" fontId="9" fillId="5" borderId="56" xfId="0" applyFont="1" applyFill="1" applyBorder="1" applyAlignment="1">
      <alignment horizontal="center" vertical="center"/>
    </xf>
    <xf numFmtId="167" fontId="9" fillId="7" borderId="47" xfId="1" applyNumberFormat="1" applyFont="1" applyFill="1" applyBorder="1" applyAlignment="1">
      <alignment horizontal="center" vertical="center"/>
    </xf>
    <xf numFmtId="167" fontId="9" fillId="7" borderId="57" xfId="1" applyNumberFormat="1" applyFont="1" applyFill="1" applyBorder="1" applyAlignment="1">
      <alignment horizontal="center" vertical="center"/>
    </xf>
    <xf numFmtId="167" fontId="9" fillId="7" borderId="56" xfId="1" applyNumberFormat="1" applyFont="1" applyFill="1" applyBorder="1" applyAlignment="1">
      <alignment horizontal="center" vertical="center"/>
    </xf>
    <xf numFmtId="167" fontId="9" fillId="3" borderId="10" xfId="1" applyNumberFormat="1" applyFont="1" applyFill="1" applyBorder="1" applyAlignment="1">
      <alignment horizontal="center" vertical="center"/>
    </xf>
    <xf numFmtId="167" fontId="9" fillId="3" borderId="57" xfId="1" applyNumberFormat="1" applyFont="1" applyFill="1" applyBorder="1" applyAlignment="1">
      <alignment horizontal="center" vertical="center"/>
    </xf>
    <xf numFmtId="167" fontId="9" fillId="3" borderId="58" xfId="1" applyNumberFormat="1" applyFont="1" applyFill="1" applyBorder="1" applyAlignment="1">
      <alignment horizontal="center" vertical="center"/>
    </xf>
    <xf numFmtId="0" fontId="10" fillId="2" borderId="59" xfId="0" applyFont="1" applyFill="1" applyBorder="1" applyAlignment="1">
      <alignment horizontal="center" vertical="center" wrapText="1"/>
    </xf>
    <xf numFmtId="0" fontId="6" fillId="4" borderId="44" xfId="0" applyFont="1" applyFill="1" applyBorder="1" applyAlignment="1">
      <alignment horizontal="center" vertical="center" wrapText="1"/>
    </xf>
    <xf numFmtId="0" fontId="7" fillId="4" borderId="45" xfId="0" applyFont="1" applyFill="1" applyBorder="1" applyAlignment="1">
      <alignment horizontal="center" vertical="center" wrapText="1"/>
    </xf>
    <xf numFmtId="0" fontId="8" fillId="4" borderId="46" xfId="0" applyFont="1" applyFill="1" applyBorder="1" applyAlignment="1">
      <alignment horizontal="center" vertical="center" wrapText="1"/>
    </xf>
    <xf numFmtId="0" fontId="9" fillId="5" borderId="49" xfId="0" applyFont="1" applyFill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167" fontId="9" fillId="3" borderId="47" xfId="1" applyNumberFormat="1" applyFont="1" applyFill="1" applyBorder="1" applyAlignment="1">
      <alignment horizontal="center" vertical="center"/>
    </xf>
    <xf numFmtId="167" fontId="9" fillId="3" borderId="52" xfId="1" applyNumberFormat="1" applyFont="1" applyFill="1" applyBorder="1" applyAlignment="1">
      <alignment horizontal="center" vertical="center"/>
    </xf>
    <xf numFmtId="167" fontId="9" fillId="3" borderId="51" xfId="1" applyNumberFormat="1" applyFont="1" applyFill="1" applyBorder="1" applyAlignment="1">
      <alignment horizontal="center" vertical="center"/>
    </xf>
    <xf numFmtId="167" fontId="9" fillId="3" borderId="53" xfId="1" applyNumberFormat="1" applyFont="1" applyFill="1" applyBorder="1" applyAlignment="1">
      <alignment horizontal="center" vertical="center"/>
    </xf>
    <xf numFmtId="0" fontId="8" fillId="8" borderId="46" xfId="0" applyFont="1" applyFill="1" applyBorder="1" applyAlignment="1">
      <alignment horizontal="center" vertical="center" wrapText="1"/>
    </xf>
    <xf numFmtId="0" fontId="8" fillId="4" borderId="47" xfId="0" applyFont="1" applyFill="1" applyBorder="1" applyAlignment="1">
      <alignment horizontal="center" vertical="center"/>
    </xf>
    <xf numFmtId="0" fontId="8" fillId="4" borderId="49" xfId="0" applyFont="1" applyFill="1" applyBorder="1" applyAlignment="1">
      <alignment horizontal="center" vertical="center"/>
    </xf>
    <xf numFmtId="0" fontId="8" fillId="4" borderId="51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 wrapText="1"/>
    </xf>
    <xf numFmtId="0" fontId="8" fillId="4" borderId="60" xfId="0" applyFont="1" applyFill="1" applyBorder="1" applyAlignment="1">
      <alignment horizontal="center" vertical="center" wrapText="1"/>
    </xf>
    <xf numFmtId="0" fontId="8" fillId="4" borderId="52" xfId="0" applyFont="1" applyFill="1" applyBorder="1" applyAlignment="1">
      <alignment horizontal="center" vertical="center" wrapText="1"/>
    </xf>
    <xf numFmtId="0" fontId="8" fillId="4" borderId="50" xfId="0" applyFont="1" applyFill="1" applyBorder="1" applyAlignment="1">
      <alignment horizontal="center" vertical="center" wrapText="1"/>
    </xf>
    <xf numFmtId="0" fontId="8" fillId="4" borderId="61" xfId="0" applyFont="1" applyFill="1" applyBorder="1" applyAlignment="1">
      <alignment horizontal="center" vertical="center" wrapText="1"/>
    </xf>
    <xf numFmtId="0" fontId="8" fillId="4" borderId="62" xfId="0" applyFont="1" applyFill="1" applyBorder="1" applyAlignment="1">
      <alignment horizontal="center" vertical="center" wrapText="1"/>
    </xf>
    <xf numFmtId="0" fontId="8" fillId="4" borderId="63" xfId="0" applyFont="1" applyFill="1" applyBorder="1" applyAlignment="1">
      <alignment horizontal="center" vertical="center" wrapText="1"/>
    </xf>
    <xf numFmtId="0" fontId="5" fillId="10" borderId="16" xfId="0" applyFont="1" applyFill="1" applyBorder="1" applyAlignment="1">
      <alignment horizontal="center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5" fillId="11" borderId="16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center" vertical="center" wrapText="1"/>
    </xf>
    <xf numFmtId="0" fontId="5" fillId="14" borderId="16" xfId="0" applyFont="1" applyFill="1" applyBorder="1" applyAlignment="1">
      <alignment horizontal="center" vertical="center" wrapText="1"/>
    </xf>
    <xf numFmtId="0" fontId="5" fillId="15" borderId="16" xfId="0" applyFont="1" applyFill="1" applyBorder="1" applyAlignment="1">
      <alignment horizontal="center" vertical="center" wrapText="1"/>
    </xf>
    <xf numFmtId="0" fontId="0" fillId="12" borderId="16" xfId="0" applyFill="1" applyBorder="1" applyAlignment="1">
      <alignment horizontal="center" vertical="center" wrapText="1"/>
    </xf>
    <xf numFmtId="0" fontId="5" fillId="13" borderId="16" xfId="0" applyFont="1" applyFill="1" applyBorder="1" applyAlignment="1">
      <alignment horizontal="center" vertical="center" wrapText="1"/>
    </xf>
    <xf numFmtId="0" fontId="5" fillId="18" borderId="65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left" vertical="center" wrapText="1"/>
    </xf>
    <xf numFmtId="0" fontId="5" fillId="23" borderId="11" xfId="0" applyFont="1" applyFill="1" applyBorder="1" applyAlignment="1">
      <alignment horizontal="center" vertical="center" wrapText="1"/>
    </xf>
    <xf numFmtId="0" fontId="5" fillId="23" borderId="65" xfId="0" applyFont="1" applyFill="1" applyBorder="1" applyAlignment="1">
      <alignment horizontal="center" vertical="center" wrapText="1"/>
    </xf>
    <xf numFmtId="0" fontId="5" fillId="16" borderId="16" xfId="0" applyFont="1" applyFill="1" applyBorder="1" applyAlignment="1">
      <alignment horizontal="center" vertical="center" wrapText="1"/>
    </xf>
    <xf numFmtId="0" fontId="5" fillId="17" borderId="16" xfId="0" applyFont="1" applyFill="1" applyBorder="1" applyAlignment="1">
      <alignment horizontal="center" vertical="center" wrapText="1"/>
    </xf>
    <xf numFmtId="0" fontId="14" fillId="19" borderId="66" xfId="0" applyFont="1" applyFill="1" applyBorder="1" applyAlignment="1">
      <alignment horizontal="center" vertical="center" wrapText="1"/>
    </xf>
    <xf numFmtId="0" fontId="14" fillId="19" borderId="67" xfId="0" applyFont="1" applyFill="1" applyBorder="1" applyAlignment="1">
      <alignment horizontal="center" vertical="center" wrapText="1"/>
    </xf>
    <xf numFmtId="0" fontId="14" fillId="19" borderId="68" xfId="0" applyFont="1" applyFill="1" applyBorder="1" applyAlignment="1">
      <alignment horizontal="center" vertical="center" wrapText="1"/>
    </xf>
    <xf numFmtId="0" fontId="0" fillId="22" borderId="27" xfId="0" applyFill="1" applyBorder="1" applyAlignment="1">
      <alignment vertical="center"/>
    </xf>
    <xf numFmtId="0" fontId="7" fillId="19" borderId="35" xfId="0" applyFont="1" applyFill="1" applyBorder="1" applyAlignment="1">
      <alignment horizontal="center" vertical="center" wrapText="1"/>
    </xf>
    <xf numFmtId="0" fontId="0" fillId="22" borderId="21" xfId="0" applyFill="1" applyBorder="1" applyAlignment="1">
      <alignment horizontal="center" vertical="center"/>
    </xf>
    <xf numFmtId="0" fontId="0" fillId="22" borderId="22" xfId="0" applyFill="1" applyBorder="1" applyAlignment="1">
      <alignment horizontal="center" vertical="center"/>
    </xf>
    <xf numFmtId="0" fontId="0" fillId="22" borderId="23" xfId="0" applyFill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19" fillId="3" borderId="27" xfId="0" applyFont="1" applyFill="1" applyBorder="1" applyAlignment="1">
      <alignment vertical="center"/>
    </xf>
    <xf numFmtId="0" fontId="0" fillId="22" borderId="21" xfId="0" applyFill="1" applyBorder="1" applyAlignment="1">
      <alignment horizontal="left" vertical="center"/>
    </xf>
    <xf numFmtId="0" fontId="0" fillId="22" borderId="22" xfId="0" applyFill="1" applyBorder="1" applyAlignment="1">
      <alignment horizontal="left" vertical="center"/>
    </xf>
    <xf numFmtId="0" fontId="0" fillId="22" borderId="23" xfId="0" applyFill="1" applyBorder="1" applyAlignment="1">
      <alignment horizontal="left" vertical="center"/>
    </xf>
    <xf numFmtId="0" fontId="0" fillId="0" borderId="32" xfId="0" applyBorder="1" applyAlignment="1">
      <alignment vertical="center"/>
    </xf>
    <xf numFmtId="0" fontId="0" fillId="22" borderId="32" xfId="0" applyFill="1" applyBorder="1" applyAlignment="1">
      <alignment vertical="center"/>
    </xf>
    <xf numFmtId="0" fontId="0" fillId="22" borderId="69" xfId="0" applyFill="1" applyBorder="1" applyAlignment="1">
      <alignment horizontal="left" vertical="center"/>
    </xf>
    <xf numFmtId="0" fontId="0" fillId="22" borderId="70" xfId="0" applyFill="1" applyBorder="1" applyAlignment="1">
      <alignment horizontal="left" vertical="center"/>
    </xf>
    <xf numFmtId="0" fontId="0" fillId="22" borderId="71" xfId="0" applyFill="1" applyBorder="1" applyAlignment="1">
      <alignment horizontal="left" vertical="center"/>
    </xf>
    <xf numFmtId="0" fontId="10" fillId="22" borderId="75" xfId="0" applyFont="1" applyFill="1" applyBorder="1" applyAlignment="1">
      <alignment horizontal="left" vertical="center" wrapText="1"/>
    </xf>
    <xf numFmtId="0" fontId="10" fillId="22" borderId="70" xfId="0" applyFont="1" applyFill="1" applyBorder="1" applyAlignment="1">
      <alignment horizontal="left" vertical="center" wrapText="1"/>
    </xf>
    <xf numFmtId="0" fontId="10" fillId="22" borderId="71" xfId="0" applyFont="1" applyFill="1" applyBorder="1" applyAlignment="1">
      <alignment horizontal="left" vertical="center" wrapText="1"/>
    </xf>
    <xf numFmtId="0" fontId="14" fillId="19" borderId="69" xfId="0" applyFont="1" applyFill="1" applyBorder="1" applyAlignment="1">
      <alignment horizontal="center" vertical="center" wrapText="1"/>
    </xf>
    <xf numFmtId="0" fontId="14" fillId="19" borderId="70" xfId="0" applyFont="1" applyFill="1" applyBorder="1" applyAlignment="1">
      <alignment horizontal="center" vertical="center" wrapText="1"/>
    </xf>
    <xf numFmtId="0" fontId="14" fillId="19" borderId="71" xfId="0" applyFont="1" applyFill="1" applyBorder="1" applyAlignment="1">
      <alignment horizontal="center" vertical="center" wrapText="1"/>
    </xf>
    <xf numFmtId="0" fontId="6" fillId="6" borderId="34" xfId="0" applyFont="1" applyFill="1" applyBorder="1" applyAlignment="1">
      <alignment horizontal="center" vertical="center" wrapText="1"/>
    </xf>
    <xf numFmtId="0" fontId="6" fillId="6" borderId="30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vertical="center" wrapText="1"/>
    </xf>
    <xf numFmtId="0" fontId="15" fillId="25" borderId="75" xfId="0" applyFont="1" applyFill="1" applyBorder="1" applyAlignment="1">
      <alignment horizontal="left" vertical="center" wrapText="1"/>
    </xf>
    <xf numFmtId="0" fontId="15" fillId="25" borderId="70" xfId="0" applyFont="1" applyFill="1" applyBorder="1" applyAlignment="1">
      <alignment horizontal="left" vertical="center" wrapText="1"/>
    </xf>
    <xf numFmtId="0" fontId="15" fillId="25" borderId="71" xfId="0" applyFont="1" applyFill="1" applyBorder="1" applyAlignment="1">
      <alignment horizontal="left" vertical="center" wrapText="1"/>
    </xf>
    <xf numFmtId="0" fontId="15" fillId="25" borderId="32" xfId="0" applyFont="1" applyFill="1" applyBorder="1" applyAlignment="1">
      <alignment vertical="center"/>
    </xf>
    <xf numFmtId="0" fontId="10" fillId="22" borderId="69" xfId="0" applyFont="1" applyFill="1" applyBorder="1" applyAlignment="1">
      <alignment horizontal="left" vertical="center"/>
    </xf>
    <xf numFmtId="0" fontId="10" fillId="22" borderId="70" xfId="0" applyFont="1" applyFill="1" applyBorder="1" applyAlignment="1">
      <alignment horizontal="left" vertical="center"/>
    </xf>
    <xf numFmtId="0" fontId="10" fillId="22" borderId="71" xfId="0" applyFont="1" applyFill="1" applyBorder="1" applyAlignment="1">
      <alignment horizontal="left" vertical="center"/>
    </xf>
    <xf numFmtId="0" fontId="8" fillId="4" borderId="29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Normal 13" xfId="2" xr:uid="{AAAE0C65-D3BC-814F-A86F-6E7158504B94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3962D-35BC-9046-A9FB-9FD35EDC7DBD}">
  <dimension ref="A1:BU208"/>
  <sheetViews>
    <sheetView topLeftCell="A2" zoomScaleNormal="100" workbookViewId="0">
      <selection activeCell="C81" sqref="C81"/>
    </sheetView>
  </sheetViews>
  <sheetFormatPr baseColWidth="10" defaultColWidth="8.6640625" defaultRowHeight="15" x14ac:dyDescent="0.2"/>
  <cols>
    <col min="1" max="1" width="4.5" style="1" customWidth="1"/>
    <col min="2" max="2" width="15.6640625" bestFit="1" customWidth="1"/>
    <col min="3" max="3" width="33" style="72" bestFit="1" customWidth="1"/>
    <col min="4" max="4" width="12.1640625" customWidth="1"/>
    <col min="5" max="5" width="28" customWidth="1"/>
    <col min="6" max="6" width="12.5" bestFit="1" customWidth="1"/>
    <col min="7" max="7" width="10.6640625" bestFit="1" customWidth="1"/>
    <col min="8" max="8" width="18.5" customWidth="1"/>
    <col min="9" max="9" width="59.5" customWidth="1"/>
    <col min="10" max="10" width="13.6640625" customWidth="1"/>
    <col min="11" max="11" width="14" customWidth="1"/>
    <col min="12" max="12" width="14.6640625" customWidth="1"/>
    <col min="13" max="13" width="13.6640625" customWidth="1"/>
    <col min="14" max="14" width="11" customWidth="1"/>
    <col min="15" max="15" width="13.5" bestFit="1" customWidth="1"/>
    <col min="16" max="16" width="11" style="74" customWidth="1"/>
    <col min="17" max="17" width="20.5" style="3" customWidth="1"/>
    <col min="18" max="18" width="5.5" style="3" customWidth="1"/>
    <col min="19" max="19" width="19.5" style="3" customWidth="1"/>
    <col min="20" max="22" width="27.5" style="3" customWidth="1"/>
    <col min="23" max="23" width="40.5" style="3" bestFit="1" customWidth="1"/>
    <col min="24" max="24" width="29" style="3" customWidth="1"/>
    <col min="25" max="72" width="8.6640625" style="3"/>
  </cols>
  <sheetData>
    <row r="1" spans="2:72" s="1" customFormat="1" ht="15" customHeight="1" thickBot="1" x14ac:dyDescent="0.25">
      <c r="C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2:72" ht="46.5" customHeight="1" x14ac:dyDescent="0.2">
      <c r="B2" s="155" t="s">
        <v>0</v>
      </c>
      <c r="C2" s="155"/>
      <c r="D2" s="156" t="s">
        <v>1</v>
      </c>
      <c r="E2" s="156"/>
      <c r="F2" s="157"/>
      <c r="G2" s="157"/>
      <c r="H2" s="156" t="s">
        <v>2</v>
      </c>
      <c r="I2" s="156"/>
      <c r="J2" s="156"/>
      <c r="K2" s="156"/>
      <c r="L2" s="156"/>
      <c r="M2" s="156"/>
      <c r="N2" s="3"/>
      <c r="O2" s="4" t="s">
        <v>3</v>
      </c>
      <c r="P2" s="158" t="s">
        <v>4</v>
      </c>
      <c r="Q2" s="158"/>
    </row>
    <row r="3" spans="2:72" ht="24.75" customHeight="1" x14ac:dyDescent="0.2">
      <c r="B3" s="149" t="s">
        <v>5</v>
      </c>
      <c r="C3" s="149"/>
      <c r="D3" s="149"/>
      <c r="E3" s="149"/>
      <c r="F3" s="159">
        <v>2300000</v>
      </c>
      <c r="G3" s="159"/>
      <c r="H3" s="152" t="s">
        <v>6</v>
      </c>
      <c r="I3" s="152"/>
      <c r="J3" s="152"/>
      <c r="K3" s="152"/>
      <c r="L3" s="159">
        <v>4000000</v>
      </c>
      <c r="M3" s="159"/>
      <c r="N3" s="5"/>
      <c r="O3" s="6" t="s">
        <v>7</v>
      </c>
      <c r="P3" s="148"/>
      <c r="Q3" s="148"/>
    </row>
    <row r="4" spans="2:72" ht="21" customHeight="1" x14ac:dyDescent="0.2">
      <c r="B4" s="149"/>
      <c r="C4" s="149"/>
      <c r="D4" s="149"/>
      <c r="E4" s="149"/>
      <c r="F4" s="159"/>
      <c r="G4" s="159"/>
      <c r="H4" s="152"/>
      <c r="I4" s="152"/>
      <c r="J4" s="152"/>
      <c r="K4" s="152"/>
      <c r="L4" s="159"/>
      <c r="M4" s="159"/>
      <c r="N4" s="3"/>
      <c r="O4" s="6" t="s">
        <v>8</v>
      </c>
      <c r="P4" s="148"/>
      <c r="Q4" s="148"/>
    </row>
    <row r="5" spans="2:72" ht="21" customHeight="1" x14ac:dyDescent="0.2">
      <c r="B5" s="149" t="s">
        <v>9</v>
      </c>
      <c r="C5" s="149"/>
      <c r="D5" s="149"/>
      <c r="E5" s="149"/>
      <c r="F5" s="150">
        <f>SUM(T27:T73)</f>
        <v>0</v>
      </c>
      <c r="G5" s="150"/>
      <c r="H5" s="151" t="s">
        <v>10</v>
      </c>
      <c r="I5" s="152"/>
      <c r="J5" s="152"/>
      <c r="K5" s="152"/>
      <c r="L5" s="153">
        <f>SUM(L3-F3)</f>
        <v>1700000</v>
      </c>
      <c r="M5" s="153"/>
      <c r="N5" s="3"/>
      <c r="O5" s="7" t="s">
        <v>11</v>
      </c>
      <c r="P5" s="8"/>
      <c r="Q5" s="9"/>
    </row>
    <row r="6" spans="2:72" ht="21" customHeight="1" thickBot="1" x14ac:dyDescent="0.25">
      <c r="B6" s="149"/>
      <c r="C6" s="149"/>
      <c r="D6" s="149"/>
      <c r="E6" s="149"/>
      <c r="F6" s="150"/>
      <c r="G6" s="150"/>
      <c r="H6" s="152"/>
      <c r="I6" s="152"/>
      <c r="J6" s="152"/>
      <c r="K6" s="152"/>
      <c r="L6" s="153"/>
      <c r="M6" s="153"/>
      <c r="N6" s="3"/>
      <c r="O6" s="10" t="s">
        <v>12</v>
      </c>
      <c r="P6" s="154"/>
      <c r="Q6" s="154"/>
    </row>
    <row r="7" spans="2:72" s="1" customFormat="1" ht="9" customHeight="1" thickBot="1" x14ac:dyDescent="0.25">
      <c r="C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2:72" s="1" customFormat="1" ht="46.5" customHeight="1" x14ac:dyDescent="0.2">
      <c r="B8" s="155" t="s">
        <v>13</v>
      </c>
      <c r="C8" s="155"/>
      <c r="D8" s="156" t="s">
        <v>14</v>
      </c>
      <c r="E8" s="156"/>
      <c r="F8" s="156"/>
      <c r="G8" s="156"/>
      <c r="H8" s="156"/>
      <c r="I8" s="156"/>
      <c r="J8" s="156"/>
      <c r="K8" s="156"/>
      <c r="L8" s="156"/>
      <c r="M8" s="156"/>
      <c r="N8" s="3"/>
      <c r="O8" s="4" t="s">
        <v>15</v>
      </c>
      <c r="P8" s="158" t="s">
        <v>16</v>
      </c>
      <c r="Q8" s="158"/>
      <c r="R8" s="3"/>
      <c r="S8" s="164" t="s">
        <v>17</v>
      </c>
      <c r="T8" s="164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</row>
    <row r="9" spans="2:72" s="1" customFormat="1" ht="17.25" customHeight="1" x14ac:dyDescent="0.2">
      <c r="B9" s="165" t="s">
        <v>18</v>
      </c>
      <c r="C9" s="165"/>
      <c r="D9" s="166" t="s">
        <v>19</v>
      </c>
      <c r="E9" s="166"/>
      <c r="F9" s="166"/>
      <c r="G9" s="166"/>
      <c r="H9" s="166"/>
      <c r="I9" s="166"/>
      <c r="J9" s="166"/>
      <c r="K9" s="166"/>
      <c r="L9" s="167" t="s">
        <v>20</v>
      </c>
      <c r="M9" s="168" t="s">
        <v>21</v>
      </c>
      <c r="N9" s="3"/>
      <c r="O9" s="6" t="s">
        <v>22</v>
      </c>
      <c r="P9" s="148"/>
      <c r="Q9" s="148"/>
      <c r="R9" s="3"/>
      <c r="S9" s="160">
        <v>1</v>
      </c>
      <c r="T9" s="160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</row>
    <row r="10" spans="2:72" s="1" customFormat="1" ht="17.25" customHeight="1" x14ac:dyDescent="0.2">
      <c r="B10" s="165"/>
      <c r="C10" s="165"/>
      <c r="D10" s="166"/>
      <c r="E10" s="166"/>
      <c r="F10" s="166"/>
      <c r="G10" s="166"/>
      <c r="H10" s="166"/>
      <c r="I10" s="166"/>
      <c r="J10" s="166"/>
      <c r="K10" s="166"/>
      <c r="L10" s="167"/>
      <c r="M10" s="168"/>
      <c r="N10" s="3"/>
      <c r="O10" s="6" t="s">
        <v>23</v>
      </c>
      <c r="P10" s="148"/>
      <c r="Q10" s="148"/>
      <c r="R10" s="3"/>
      <c r="S10" s="160">
        <v>2</v>
      </c>
      <c r="T10" s="160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</row>
    <row r="11" spans="2:72" s="1" customFormat="1" ht="17.25" customHeight="1" x14ac:dyDescent="0.2">
      <c r="B11" s="161">
        <v>1</v>
      </c>
      <c r="C11" s="161"/>
      <c r="D11" s="162"/>
      <c r="E11" s="163"/>
      <c r="F11" s="163"/>
      <c r="G11" s="163"/>
      <c r="H11" s="163"/>
      <c r="I11" s="163"/>
      <c r="J11" s="163"/>
      <c r="K11" s="163"/>
      <c r="L11" s="119"/>
      <c r="M11" s="122"/>
      <c r="N11" s="3"/>
      <c r="O11" s="6" t="s">
        <v>24</v>
      </c>
      <c r="P11" s="148"/>
      <c r="Q11" s="148"/>
      <c r="R11" s="3"/>
      <c r="S11" s="160">
        <v>3</v>
      </c>
      <c r="T11" s="160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</row>
    <row r="12" spans="2:72" s="1" customFormat="1" ht="17.25" customHeight="1" x14ac:dyDescent="0.2">
      <c r="B12" s="174">
        <v>2</v>
      </c>
      <c r="C12" s="174"/>
      <c r="D12" s="162"/>
      <c r="E12" s="163"/>
      <c r="F12" s="163"/>
      <c r="G12" s="163"/>
      <c r="H12" s="163"/>
      <c r="I12" s="163"/>
      <c r="J12" s="163"/>
      <c r="K12" s="163"/>
      <c r="L12" s="120"/>
      <c r="M12" s="123"/>
      <c r="N12" s="3"/>
      <c r="O12" s="6" t="s">
        <v>25</v>
      </c>
      <c r="P12" s="148"/>
      <c r="Q12" s="148"/>
      <c r="R12" s="3"/>
      <c r="S12" s="160">
        <v>4</v>
      </c>
      <c r="T12" s="160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</row>
    <row r="13" spans="2:72" s="1" customFormat="1" ht="17.25" customHeight="1" x14ac:dyDescent="0.2">
      <c r="B13" s="175">
        <f t="shared" ref="B13:B19" si="0">B12+1</f>
        <v>3</v>
      </c>
      <c r="C13" s="175"/>
      <c r="D13" s="170"/>
      <c r="E13" s="170"/>
      <c r="F13" s="170"/>
      <c r="G13" s="170"/>
      <c r="H13" s="170"/>
      <c r="I13" s="170"/>
      <c r="J13" s="170"/>
      <c r="K13" s="170"/>
      <c r="L13" s="11"/>
      <c r="M13" s="12"/>
      <c r="N13" s="3"/>
      <c r="O13" s="6" t="s">
        <v>26</v>
      </c>
      <c r="P13" s="148"/>
      <c r="Q13" s="148"/>
      <c r="R13" s="3"/>
      <c r="S13" s="160">
        <v>5</v>
      </c>
      <c r="T13" s="160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</row>
    <row r="14" spans="2:72" s="1" customFormat="1" ht="17.25" customHeight="1" x14ac:dyDescent="0.2">
      <c r="B14" s="169">
        <f t="shared" si="0"/>
        <v>4</v>
      </c>
      <c r="C14" s="169"/>
      <c r="D14" s="170"/>
      <c r="E14" s="170"/>
      <c r="F14" s="170"/>
      <c r="G14" s="170"/>
      <c r="H14" s="170"/>
      <c r="I14" s="170"/>
      <c r="J14" s="170"/>
      <c r="K14" s="170"/>
      <c r="L14" s="11"/>
      <c r="M14" s="12"/>
      <c r="N14" s="3"/>
      <c r="O14" s="6" t="s">
        <v>27</v>
      </c>
      <c r="P14" s="171"/>
      <c r="Q14" s="172"/>
      <c r="R14" s="3"/>
      <c r="S14" s="160">
        <v>6</v>
      </c>
      <c r="T14" s="160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</row>
    <row r="15" spans="2:72" s="1" customFormat="1" ht="17.25" customHeight="1" x14ac:dyDescent="0.2">
      <c r="B15" s="173">
        <f t="shared" si="0"/>
        <v>5</v>
      </c>
      <c r="C15" s="173"/>
      <c r="D15" s="170"/>
      <c r="E15" s="170"/>
      <c r="F15" s="170"/>
      <c r="G15" s="170"/>
      <c r="H15" s="170"/>
      <c r="I15" s="170"/>
      <c r="J15" s="170"/>
      <c r="K15" s="170"/>
      <c r="L15" s="11"/>
      <c r="M15" s="12"/>
      <c r="N15" s="3"/>
      <c r="O15" s="6" t="s">
        <v>28</v>
      </c>
      <c r="P15" s="148"/>
      <c r="Q15" s="148"/>
      <c r="R15" s="3"/>
      <c r="S15" s="160">
        <v>7</v>
      </c>
      <c r="T15" s="160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spans="2:72" s="1" customFormat="1" ht="17.25" customHeight="1" x14ac:dyDescent="0.2">
      <c r="B16" s="180">
        <f t="shared" si="0"/>
        <v>6</v>
      </c>
      <c r="C16" s="180"/>
      <c r="D16" s="181"/>
      <c r="E16" s="170"/>
      <c r="F16" s="170"/>
      <c r="G16" s="170"/>
      <c r="H16" s="170"/>
      <c r="I16" s="170"/>
      <c r="J16" s="170"/>
      <c r="K16" s="170"/>
      <c r="L16" s="11"/>
      <c r="M16" s="12"/>
      <c r="N16" s="3"/>
      <c r="O16" s="6" t="s">
        <v>29</v>
      </c>
      <c r="P16" s="148"/>
      <c r="Q16" s="148"/>
      <c r="R16" s="3"/>
      <c r="S16" s="160">
        <v>8</v>
      </c>
      <c r="T16" s="160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</row>
    <row r="17" spans="1:73" s="1" customFormat="1" ht="17.25" customHeight="1" x14ac:dyDescent="0.2">
      <c r="B17" s="182">
        <f t="shared" si="0"/>
        <v>7</v>
      </c>
      <c r="C17" s="182"/>
      <c r="D17" s="170"/>
      <c r="E17" s="177"/>
      <c r="F17" s="177"/>
      <c r="G17" s="177"/>
      <c r="H17" s="177"/>
      <c r="I17" s="177"/>
      <c r="J17" s="177"/>
      <c r="K17" s="178"/>
      <c r="L17" s="11"/>
      <c r="M17" s="12"/>
      <c r="N17" s="3"/>
      <c r="O17" s="6" t="s">
        <v>30</v>
      </c>
      <c r="P17" s="148"/>
      <c r="Q17" s="148"/>
      <c r="R17" s="3"/>
      <c r="S17" s="160">
        <v>9</v>
      </c>
      <c r="T17" s="160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</row>
    <row r="18" spans="1:73" s="1" customFormat="1" ht="17.25" customHeight="1" x14ac:dyDescent="0.2">
      <c r="B18" s="176">
        <f t="shared" si="0"/>
        <v>8</v>
      </c>
      <c r="C18" s="176"/>
      <c r="D18" s="170"/>
      <c r="E18" s="177"/>
      <c r="F18" s="177"/>
      <c r="G18" s="177"/>
      <c r="H18" s="177"/>
      <c r="I18" s="177"/>
      <c r="J18" s="177"/>
      <c r="K18" s="178"/>
      <c r="L18" s="13"/>
      <c r="M18" s="12"/>
      <c r="N18" s="3"/>
      <c r="O18" s="6" t="s">
        <v>31</v>
      </c>
      <c r="P18" s="148"/>
      <c r="Q18" s="148"/>
      <c r="R18" s="3"/>
      <c r="S18" s="160">
        <v>10</v>
      </c>
      <c r="T18" s="160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</row>
    <row r="19" spans="1:73" s="1" customFormat="1" ht="17.25" customHeight="1" x14ac:dyDescent="0.2">
      <c r="B19" s="179">
        <f t="shared" si="0"/>
        <v>9</v>
      </c>
      <c r="C19" s="179"/>
      <c r="D19" s="170"/>
      <c r="E19" s="170"/>
      <c r="F19" s="170"/>
      <c r="G19" s="170"/>
      <c r="H19" s="170"/>
      <c r="I19" s="170"/>
      <c r="J19" s="170"/>
      <c r="K19" s="170"/>
      <c r="L19" s="11"/>
      <c r="M19" s="12"/>
      <c r="N19" s="3"/>
      <c r="O19" s="6" t="s">
        <v>32</v>
      </c>
      <c r="P19" s="148"/>
      <c r="Q19" s="148"/>
      <c r="R19" s="3"/>
      <c r="S19" s="160">
        <v>11</v>
      </c>
      <c r="T19" s="160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</row>
    <row r="20" spans="1:73" s="1" customFormat="1" ht="17.25" customHeight="1" x14ac:dyDescent="0.2">
      <c r="B20" s="189">
        <v>10</v>
      </c>
      <c r="C20" s="189"/>
      <c r="D20" s="170"/>
      <c r="E20" s="170"/>
      <c r="F20" s="170"/>
      <c r="G20" s="170"/>
      <c r="H20" s="170"/>
      <c r="I20" s="170"/>
      <c r="J20" s="170"/>
      <c r="K20" s="170"/>
      <c r="L20" s="14"/>
      <c r="M20" s="15"/>
      <c r="N20" s="3"/>
      <c r="O20" s="7"/>
      <c r="P20" s="8"/>
      <c r="Q20" s="9"/>
      <c r="R20" s="3"/>
      <c r="S20" s="16"/>
      <c r="T20" s="17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</row>
    <row r="21" spans="1:73" s="1" customFormat="1" ht="17.25" customHeight="1" x14ac:dyDescent="0.2">
      <c r="B21" s="190">
        <v>11</v>
      </c>
      <c r="C21" s="190"/>
      <c r="D21" s="170"/>
      <c r="E21" s="170"/>
      <c r="F21" s="170"/>
      <c r="G21" s="170"/>
      <c r="H21" s="170"/>
      <c r="I21" s="170"/>
      <c r="J21" s="170"/>
      <c r="K21" s="170"/>
      <c r="L21" s="14"/>
      <c r="M21" s="15"/>
      <c r="N21" s="3"/>
      <c r="O21" s="7"/>
      <c r="P21" s="8"/>
      <c r="Q21" s="9"/>
      <c r="R21" s="3"/>
      <c r="S21" s="16"/>
      <c r="T21" s="17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</row>
    <row r="22" spans="1:73" s="1" customFormat="1" ht="17.25" customHeight="1" x14ac:dyDescent="0.2">
      <c r="B22" s="191">
        <v>12</v>
      </c>
      <c r="C22" s="191"/>
      <c r="D22" s="170"/>
      <c r="E22" s="170"/>
      <c r="F22" s="170"/>
      <c r="G22" s="170"/>
      <c r="H22" s="170"/>
      <c r="I22" s="170"/>
      <c r="J22" s="170"/>
      <c r="K22" s="170"/>
      <c r="L22" s="14"/>
      <c r="M22" s="15"/>
      <c r="N22" s="3"/>
      <c r="O22" s="7"/>
      <c r="P22" s="8"/>
      <c r="Q22" s="9"/>
      <c r="R22" s="3"/>
      <c r="S22" s="16"/>
      <c r="T22" s="17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</row>
    <row r="23" spans="1:73" s="1" customFormat="1" ht="17.25" customHeight="1" thickBot="1" x14ac:dyDescent="0.25">
      <c r="B23" s="183">
        <v>13</v>
      </c>
      <c r="C23" s="183"/>
      <c r="D23" s="184"/>
      <c r="E23" s="184"/>
      <c r="F23" s="184"/>
      <c r="G23" s="184"/>
      <c r="H23" s="184"/>
      <c r="I23" s="184"/>
      <c r="J23" s="184"/>
      <c r="K23" s="184"/>
      <c r="L23" s="18"/>
      <c r="M23" s="19"/>
      <c r="N23" s="3"/>
      <c r="O23" s="10" t="s">
        <v>33</v>
      </c>
      <c r="P23" s="154"/>
      <c r="Q23" s="154"/>
      <c r="R23" s="3"/>
      <c r="S23" s="185">
        <v>12</v>
      </c>
      <c r="T23" s="185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</row>
    <row r="24" spans="1:73" s="1" customFormat="1" ht="8.25" customHeight="1" thickBot="1" x14ac:dyDescent="0.25">
      <c r="C24" s="2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</row>
    <row r="25" spans="1:73" s="1" customFormat="1" ht="46.5" customHeight="1" x14ac:dyDescent="0.2">
      <c r="B25" s="186" t="s">
        <v>34</v>
      </c>
      <c r="C25" s="187"/>
      <c r="D25" s="188" t="s">
        <v>35</v>
      </c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</row>
    <row r="26" spans="1:73" s="1" customFormat="1" ht="65.25" customHeight="1" thickBot="1" x14ac:dyDescent="0.25">
      <c r="A26"/>
      <c r="B26" s="20" t="s">
        <v>36</v>
      </c>
      <c r="C26" s="198" t="s">
        <v>37</v>
      </c>
      <c r="D26" s="199"/>
      <c r="E26" s="200"/>
      <c r="F26" s="121" t="s">
        <v>38</v>
      </c>
      <c r="G26" s="21" t="s">
        <v>39</v>
      </c>
      <c r="H26" s="198" t="s">
        <v>40</v>
      </c>
      <c r="I26" s="199"/>
      <c r="J26" s="200"/>
      <c r="K26" s="198" t="s">
        <v>41</v>
      </c>
      <c r="L26" s="199"/>
      <c r="M26" s="200"/>
      <c r="N26" s="21" t="s">
        <v>42</v>
      </c>
      <c r="O26" s="21" t="s">
        <v>43</v>
      </c>
      <c r="P26" s="21" t="s">
        <v>44</v>
      </c>
      <c r="Q26" s="21" t="s">
        <v>45</v>
      </c>
      <c r="R26" s="198" t="s">
        <v>46</v>
      </c>
      <c r="S26" s="199"/>
      <c r="T26" s="200"/>
      <c r="U26" s="22" t="s">
        <v>47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</row>
    <row r="27" spans="1:73" s="1" customFormat="1" ht="16.5" customHeight="1" x14ac:dyDescent="0.2">
      <c r="A27"/>
      <c r="B27" s="127">
        <v>1</v>
      </c>
      <c r="C27" s="201"/>
      <c r="D27" s="202"/>
      <c r="E27" s="203"/>
      <c r="F27" s="125"/>
      <c r="G27" s="125"/>
      <c r="H27" s="193"/>
      <c r="I27" s="193"/>
      <c r="J27" s="195"/>
      <c r="K27" s="196"/>
      <c r="L27" s="197"/>
      <c r="M27" s="197"/>
      <c r="N27" s="24"/>
      <c r="O27" s="24"/>
      <c r="P27" s="24"/>
      <c r="Q27" s="24"/>
      <c r="R27" s="197"/>
      <c r="S27" s="197"/>
      <c r="T27" s="197"/>
      <c r="U27" s="25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</row>
    <row r="28" spans="1:73" s="1" customFormat="1" ht="16.5" customHeight="1" x14ac:dyDescent="0.2">
      <c r="A28"/>
      <c r="B28" s="127">
        <v>1</v>
      </c>
      <c r="C28" s="192"/>
      <c r="D28" s="193"/>
      <c r="E28" s="194"/>
      <c r="F28" s="126"/>
      <c r="G28" s="126"/>
      <c r="H28" s="193"/>
      <c r="I28" s="193"/>
      <c r="J28" s="195"/>
      <c r="K28" s="196"/>
      <c r="L28" s="197"/>
      <c r="M28" s="197"/>
      <c r="N28" s="24"/>
      <c r="O28" s="24"/>
      <c r="P28" s="24"/>
      <c r="Q28" s="24"/>
      <c r="R28" s="197"/>
      <c r="S28" s="197"/>
      <c r="T28" s="197"/>
      <c r="U28" s="25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</row>
    <row r="29" spans="1:73" s="1" customFormat="1" ht="16.5" customHeight="1" x14ac:dyDescent="0.2">
      <c r="A29"/>
      <c r="B29" s="127">
        <v>1</v>
      </c>
      <c r="C29" s="192"/>
      <c r="D29" s="193"/>
      <c r="E29" s="194"/>
      <c r="F29" s="126"/>
      <c r="G29" s="126"/>
      <c r="H29" s="193"/>
      <c r="I29" s="193"/>
      <c r="J29" s="195"/>
      <c r="K29" s="196"/>
      <c r="L29" s="197"/>
      <c r="M29" s="197"/>
      <c r="N29" s="24"/>
      <c r="O29" s="24"/>
      <c r="P29" s="24"/>
      <c r="Q29" s="24"/>
      <c r="R29" s="197"/>
      <c r="S29" s="197"/>
      <c r="T29" s="197"/>
      <c r="U29" s="25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</row>
    <row r="30" spans="1:73" s="1" customFormat="1" ht="16.5" customHeight="1" thickBot="1" x14ac:dyDescent="0.25">
      <c r="A30"/>
      <c r="B30" s="127">
        <v>1</v>
      </c>
      <c r="C30" s="205"/>
      <c r="D30" s="206"/>
      <c r="E30" s="207"/>
      <c r="F30" s="27"/>
      <c r="G30" s="126"/>
      <c r="H30" s="197"/>
      <c r="I30" s="197"/>
      <c r="J30" s="197"/>
      <c r="K30" s="196"/>
      <c r="L30" s="197"/>
      <c r="M30" s="197"/>
      <c r="N30" s="24"/>
      <c r="O30" s="24"/>
      <c r="P30" s="24"/>
      <c r="Q30" s="24"/>
      <c r="R30" s="197"/>
      <c r="S30" s="197"/>
      <c r="T30" s="197"/>
      <c r="U30" s="25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</row>
    <row r="31" spans="1:73" s="1" customFormat="1" ht="16.5" customHeight="1" x14ac:dyDescent="0.2">
      <c r="A31"/>
      <c r="B31" s="128">
        <v>2</v>
      </c>
      <c r="C31" s="201"/>
      <c r="D31" s="202"/>
      <c r="E31" s="203"/>
      <c r="F31" s="125"/>
      <c r="G31" s="125"/>
      <c r="H31" s="193"/>
      <c r="I31" s="193"/>
      <c r="J31" s="204"/>
      <c r="K31" s="197"/>
      <c r="L31" s="197"/>
      <c r="M31" s="197"/>
      <c r="N31" s="24"/>
      <c r="O31" s="24"/>
      <c r="P31" s="24"/>
      <c r="Q31" s="27"/>
      <c r="R31" s="197"/>
      <c r="S31" s="197"/>
      <c r="T31" s="197"/>
      <c r="U31" s="25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</row>
    <row r="32" spans="1:73" s="1" customFormat="1" ht="16.5" customHeight="1" x14ac:dyDescent="0.2">
      <c r="A32"/>
      <c r="B32" s="128">
        <v>2</v>
      </c>
      <c r="C32" s="192"/>
      <c r="D32" s="193"/>
      <c r="E32" s="194"/>
      <c r="F32" s="126"/>
      <c r="G32" s="126"/>
      <c r="H32" s="193"/>
      <c r="I32" s="193"/>
      <c r="J32" s="204"/>
      <c r="K32" s="197"/>
      <c r="L32" s="197"/>
      <c r="M32" s="197"/>
      <c r="N32" s="24"/>
      <c r="O32" s="24"/>
      <c r="P32" s="24"/>
      <c r="Q32" s="27"/>
      <c r="R32" s="197"/>
      <c r="S32" s="197"/>
      <c r="T32" s="197"/>
      <c r="U32" s="25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</row>
    <row r="33" spans="1:73" s="1" customFormat="1" ht="16.5" customHeight="1" x14ac:dyDescent="0.2">
      <c r="A33"/>
      <c r="B33" s="128">
        <v>2</v>
      </c>
      <c r="C33" s="192"/>
      <c r="D33" s="193"/>
      <c r="E33" s="194"/>
      <c r="F33" s="126"/>
      <c r="G33" s="126"/>
      <c r="H33" s="193"/>
      <c r="I33" s="193"/>
      <c r="J33" s="204"/>
      <c r="K33" s="197"/>
      <c r="L33" s="197"/>
      <c r="M33" s="197"/>
      <c r="N33" s="24"/>
      <c r="O33" s="24"/>
      <c r="P33" s="24"/>
      <c r="Q33" s="27"/>
      <c r="R33" s="197"/>
      <c r="S33" s="197"/>
      <c r="T33" s="197"/>
      <c r="U33" s="25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</row>
    <row r="34" spans="1:73" s="1" customFormat="1" ht="16.5" customHeight="1" thickBot="1" x14ac:dyDescent="0.25">
      <c r="A34"/>
      <c r="B34" s="128">
        <v>2</v>
      </c>
      <c r="C34" s="208"/>
      <c r="D34" s="209"/>
      <c r="E34" s="210"/>
      <c r="F34" s="126"/>
      <c r="G34" s="126"/>
      <c r="H34" s="193"/>
      <c r="I34" s="193"/>
      <c r="J34" s="195"/>
      <c r="K34" s="197"/>
      <c r="L34" s="197"/>
      <c r="M34" s="197"/>
      <c r="N34" s="24"/>
      <c r="O34" s="24"/>
      <c r="P34" s="24"/>
      <c r="Q34" s="27"/>
      <c r="R34" s="197"/>
      <c r="S34" s="197"/>
      <c r="T34" s="197"/>
      <c r="U34" s="25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</row>
    <row r="35" spans="1:73" s="1" customFormat="1" ht="16.5" customHeight="1" x14ac:dyDescent="0.2">
      <c r="A35"/>
      <c r="B35" s="26">
        <v>2</v>
      </c>
      <c r="C35" s="211"/>
      <c r="D35" s="211"/>
      <c r="E35" s="211"/>
      <c r="F35" s="27"/>
      <c r="G35" s="24"/>
      <c r="H35" s="197"/>
      <c r="I35" s="197"/>
      <c r="J35" s="197"/>
      <c r="K35" s="197"/>
      <c r="L35" s="197"/>
      <c r="M35" s="197"/>
      <c r="N35" s="24"/>
      <c r="O35" s="24"/>
      <c r="P35" s="24"/>
      <c r="Q35" s="27"/>
      <c r="R35" s="197"/>
      <c r="S35" s="197"/>
      <c r="T35" s="197"/>
      <c r="U35" s="25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</row>
    <row r="36" spans="1:73" s="1" customFormat="1" ht="16.5" customHeight="1" thickBot="1" x14ac:dyDescent="0.25">
      <c r="A36"/>
      <c r="B36" s="26">
        <v>2</v>
      </c>
      <c r="C36" s="206"/>
      <c r="D36" s="206"/>
      <c r="E36" s="206"/>
      <c r="F36" s="27"/>
      <c r="G36" s="24"/>
      <c r="H36" s="197"/>
      <c r="I36" s="197"/>
      <c r="J36" s="197"/>
      <c r="K36" s="197"/>
      <c r="L36" s="197"/>
      <c r="M36" s="197"/>
      <c r="N36" s="24"/>
      <c r="O36" s="24"/>
      <c r="P36" s="24"/>
      <c r="Q36" s="27"/>
      <c r="R36" s="197"/>
      <c r="S36" s="197"/>
      <c r="T36" s="197"/>
      <c r="U36" s="25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</row>
    <row r="37" spans="1:73" s="29" customFormat="1" ht="16.5" customHeight="1" x14ac:dyDescent="0.2">
      <c r="A37"/>
      <c r="B37" s="129">
        <v>3</v>
      </c>
      <c r="C37" s="201"/>
      <c r="D37" s="202"/>
      <c r="E37" s="203"/>
      <c r="F37" s="125"/>
      <c r="G37" s="125"/>
      <c r="H37" s="193"/>
      <c r="I37" s="193"/>
      <c r="J37" s="195"/>
      <c r="K37" s="197"/>
      <c r="L37" s="197"/>
      <c r="M37" s="197"/>
      <c r="N37" s="24"/>
      <c r="O37" s="24"/>
      <c r="P37" s="24"/>
      <c r="Q37" s="27"/>
      <c r="R37" s="197"/>
      <c r="S37" s="197"/>
      <c r="T37" s="197"/>
      <c r="U37" s="25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</row>
    <row r="38" spans="1:73" s="1" customFormat="1" ht="16.5" customHeight="1" x14ac:dyDescent="0.2">
      <c r="A38"/>
      <c r="B38" s="129">
        <v>3</v>
      </c>
      <c r="C38" s="192"/>
      <c r="D38" s="193"/>
      <c r="E38" s="194"/>
      <c r="F38" s="126"/>
      <c r="G38" s="126"/>
      <c r="H38" s="193"/>
      <c r="I38" s="193"/>
      <c r="J38" s="195"/>
      <c r="K38" s="197"/>
      <c r="L38" s="197"/>
      <c r="M38" s="197"/>
      <c r="N38" s="24"/>
      <c r="O38" s="24"/>
      <c r="P38" s="24"/>
      <c r="Q38" s="27"/>
      <c r="R38" s="197"/>
      <c r="S38" s="197"/>
      <c r="T38" s="197"/>
      <c r="U38" s="25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</row>
    <row r="39" spans="1:73" s="1" customFormat="1" ht="16.5" customHeight="1" x14ac:dyDescent="0.2">
      <c r="A39"/>
      <c r="B39" s="129">
        <v>3</v>
      </c>
      <c r="C39" s="221"/>
      <c r="D39" s="222"/>
      <c r="E39" s="223"/>
      <c r="F39" s="126"/>
      <c r="G39" s="126"/>
      <c r="H39" s="193"/>
      <c r="I39" s="193"/>
      <c r="J39" s="195"/>
      <c r="K39" s="197"/>
      <c r="L39" s="197"/>
      <c r="M39" s="197"/>
      <c r="N39" s="24"/>
      <c r="O39" s="24"/>
      <c r="P39" s="24"/>
      <c r="Q39" s="27"/>
      <c r="R39" s="197"/>
      <c r="S39" s="197"/>
      <c r="T39" s="197"/>
      <c r="U39" s="25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</row>
    <row r="40" spans="1:73" s="1" customFormat="1" ht="16.5" customHeight="1" x14ac:dyDescent="0.2">
      <c r="A40"/>
      <c r="B40" s="129">
        <v>3</v>
      </c>
      <c r="C40" s="212"/>
      <c r="D40" s="213"/>
      <c r="E40" s="214"/>
      <c r="F40" s="126"/>
      <c r="G40" s="126"/>
      <c r="H40" s="193"/>
      <c r="I40" s="193"/>
      <c r="J40" s="195"/>
      <c r="K40" s="197"/>
      <c r="L40" s="197"/>
      <c r="M40" s="197"/>
      <c r="N40" s="24"/>
      <c r="O40" s="24"/>
      <c r="P40" s="24"/>
      <c r="Q40" s="27"/>
      <c r="R40" s="197"/>
      <c r="S40" s="197"/>
      <c r="T40" s="197"/>
      <c r="U40" s="25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</row>
    <row r="41" spans="1:73" s="1" customFormat="1" ht="16.5" customHeight="1" x14ac:dyDescent="0.2">
      <c r="A41"/>
      <c r="B41" s="129">
        <v>3</v>
      </c>
      <c r="C41" s="215"/>
      <c r="D41" s="216"/>
      <c r="E41" s="217"/>
      <c r="F41" s="126"/>
      <c r="G41" s="126"/>
      <c r="H41" s="147"/>
      <c r="I41" s="147"/>
      <c r="J41" s="125"/>
      <c r="K41" s="218"/>
      <c r="L41" s="219"/>
      <c r="M41" s="220"/>
      <c r="N41" s="24"/>
      <c r="O41" s="24"/>
      <c r="P41" s="24"/>
      <c r="Q41" s="27"/>
      <c r="R41" s="197"/>
      <c r="S41" s="197"/>
      <c r="T41" s="197"/>
      <c r="U41" s="25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</row>
    <row r="42" spans="1:73" s="1" customFormat="1" ht="16.5" customHeight="1" x14ac:dyDescent="0.2">
      <c r="A42"/>
      <c r="B42" s="129">
        <v>3</v>
      </c>
      <c r="C42" s="215"/>
      <c r="D42" s="216"/>
      <c r="E42" s="217"/>
      <c r="F42" s="126"/>
      <c r="G42" s="126"/>
      <c r="H42" s="147"/>
      <c r="I42" s="147"/>
      <c r="J42" s="125"/>
      <c r="K42" s="218"/>
      <c r="L42" s="219"/>
      <c r="M42" s="220"/>
      <c r="N42" s="24"/>
      <c r="O42" s="24"/>
      <c r="P42" s="24"/>
      <c r="Q42" s="27"/>
      <c r="R42" s="197"/>
      <c r="S42" s="197"/>
      <c r="T42" s="197"/>
      <c r="U42" s="25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</row>
    <row r="43" spans="1:73" s="1" customFormat="1" ht="16.5" customHeight="1" x14ac:dyDescent="0.2">
      <c r="A43"/>
      <c r="B43" s="129">
        <v>3</v>
      </c>
      <c r="C43" s="215"/>
      <c r="D43" s="216"/>
      <c r="E43" s="217"/>
      <c r="F43" s="126"/>
      <c r="G43" s="126"/>
      <c r="H43" s="147"/>
      <c r="I43" s="147"/>
      <c r="J43" s="125"/>
      <c r="K43" s="218"/>
      <c r="L43" s="219"/>
      <c r="M43" s="220"/>
      <c r="N43" s="24"/>
      <c r="O43" s="24"/>
      <c r="P43" s="24"/>
      <c r="Q43" s="27"/>
      <c r="R43" s="197"/>
      <c r="S43" s="197"/>
      <c r="T43" s="197"/>
      <c r="U43" s="25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</row>
    <row r="44" spans="1:73" s="1" customFormat="1" ht="16.5" customHeight="1" x14ac:dyDescent="0.2">
      <c r="A44"/>
      <c r="B44" s="129">
        <v>3</v>
      </c>
      <c r="C44" s="224"/>
      <c r="D44" s="225"/>
      <c r="E44" s="226"/>
      <c r="F44" s="126"/>
      <c r="G44" s="126"/>
      <c r="H44" s="147"/>
      <c r="I44" s="147"/>
      <c r="J44" s="125"/>
      <c r="K44" s="218"/>
      <c r="L44" s="219"/>
      <c r="M44" s="220"/>
      <c r="N44" s="24"/>
      <c r="O44" s="24"/>
      <c r="P44" s="24"/>
      <c r="Q44" s="27"/>
      <c r="R44" s="197"/>
      <c r="S44" s="197"/>
      <c r="T44" s="197"/>
      <c r="U44" s="25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</row>
    <row r="45" spans="1:73" s="1" customFormat="1" ht="16.5" customHeight="1" x14ac:dyDescent="0.2">
      <c r="A45"/>
      <c r="B45" s="130">
        <v>4</v>
      </c>
      <c r="C45" s="227"/>
      <c r="D45" s="228"/>
      <c r="E45" s="229"/>
      <c r="F45" s="125"/>
      <c r="G45" s="125"/>
      <c r="H45" s="193"/>
      <c r="I45" s="193"/>
      <c r="J45" s="195"/>
      <c r="K45" s="197"/>
      <c r="L45" s="197"/>
      <c r="M45" s="197"/>
      <c r="N45" s="24"/>
      <c r="O45" s="24"/>
      <c r="P45" s="24"/>
      <c r="Q45" s="27"/>
      <c r="R45" s="197"/>
      <c r="S45" s="197"/>
      <c r="T45" s="197"/>
      <c r="U45" s="25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</row>
    <row r="46" spans="1:73" s="1" customFormat="1" ht="16.5" customHeight="1" x14ac:dyDescent="0.2">
      <c r="A46"/>
      <c r="B46" s="130">
        <v>4</v>
      </c>
      <c r="C46" s="192"/>
      <c r="D46" s="193"/>
      <c r="E46" s="194"/>
      <c r="F46" s="126"/>
      <c r="G46" s="126"/>
      <c r="H46" s="193"/>
      <c r="I46" s="193"/>
      <c r="J46" s="195"/>
      <c r="K46" s="197"/>
      <c r="L46" s="197"/>
      <c r="M46" s="197"/>
      <c r="N46" s="24"/>
      <c r="O46" s="24"/>
      <c r="P46" s="24"/>
      <c r="Q46" s="27"/>
      <c r="R46" s="197"/>
      <c r="S46" s="197"/>
      <c r="T46" s="197"/>
      <c r="U46" s="25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</row>
    <row r="47" spans="1:73" s="1" customFormat="1" ht="16.5" customHeight="1" x14ac:dyDescent="0.2">
      <c r="A47"/>
      <c r="B47" s="130">
        <v>4</v>
      </c>
      <c r="C47" s="192"/>
      <c r="D47" s="193"/>
      <c r="E47" s="194"/>
      <c r="F47" s="126"/>
      <c r="G47" s="126"/>
      <c r="H47" s="193"/>
      <c r="I47" s="193"/>
      <c r="J47" s="195"/>
      <c r="K47" s="197"/>
      <c r="L47" s="197"/>
      <c r="M47" s="197"/>
      <c r="N47" s="24"/>
      <c r="O47" s="24"/>
      <c r="P47" s="24"/>
      <c r="Q47" s="27"/>
      <c r="R47" s="197"/>
      <c r="S47" s="197"/>
      <c r="T47" s="197"/>
      <c r="U47" s="25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</row>
    <row r="48" spans="1:73" s="1" customFormat="1" ht="16.5" customHeight="1" thickBot="1" x14ac:dyDescent="0.25">
      <c r="A48"/>
      <c r="B48" s="130">
        <v>4</v>
      </c>
      <c r="C48" s="221"/>
      <c r="D48" s="222"/>
      <c r="E48" s="223"/>
      <c r="F48" s="126"/>
      <c r="G48" s="126"/>
      <c r="H48" s="193"/>
      <c r="I48" s="193"/>
      <c r="J48" s="195"/>
      <c r="K48" s="197"/>
      <c r="L48" s="197"/>
      <c r="M48" s="197"/>
      <c r="N48" s="24"/>
      <c r="O48" s="24"/>
      <c r="P48" s="24"/>
      <c r="Q48" s="27"/>
      <c r="R48" s="197"/>
      <c r="S48" s="197"/>
      <c r="T48" s="197"/>
      <c r="U48" s="25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</row>
    <row r="49" spans="1:73" s="29" customFormat="1" ht="16.5" customHeight="1" x14ac:dyDescent="0.2">
      <c r="A49"/>
      <c r="B49" s="131">
        <v>5</v>
      </c>
      <c r="C49" s="201"/>
      <c r="D49" s="202"/>
      <c r="E49" s="203"/>
      <c r="F49" s="125"/>
      <c r="G49" s="125"/>
      <c r="H49" s="197"/>
      <c r="I49" s="197"/>
      <c r="J49" s="197"/>
      <c r="K49" s="197"/>
      <c r="L49" s="197"/>
      <c r="M49" s="197"/>
      <c r="N49" s="24"/>
      <c r="O49" s="24"/>
      <c r="P49" s="24"/>
      <c r="Q49" s="27"/>
      <c r="R49" s="197"/>
      <c r="S49" s="197"/>
      <c r="T49" s="197"/>
      <c r="U49" s="25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</row>
    <row r="50" spans="1:73" s="1" customFormat="1" ht="16.5" customHeight="1" x14ac:dyDescent="0.2">
      <c r="A50"/>
      <c r="B50" s="131">
        <v>5</v>
      </c>
      <c r="C50" s="192"/>
      <c r="D50" s="193"/>
      <c r="E50" s="194"/>
      <c r="F50" s="126"/>
      <c r="G50" s="126"/>
      <c r="H50" s="197"/>
      <c r="I50" s="197"/>
      <c r="J50" s="197"/>
      <c r="K50" s="197"/>
      <c r="L50" s="197"/>
      <c r="M50" s="197"/>
      <c r="N50" s="24"/>
      <c r="O50" s="24"/>
      <c r="P50" s="24"/>
      <c r="Q50" s="27"/>
      <c r="R50" s="197"/>
      <c r="S50" s="197"/>
      <c r="T50" s="197"/>
      <c r="U50" s="25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</row>
    <row r="51" spans="1:73" s="1" customFormat="1" ht="16.5" customHeight="1" thickBot="1" x14ac:dyDescent="0.25">
      <c r="A51"/>
      <c r="B51" s="131">
        <v>5</v>
      </c>
      <c r="C51" s="205"/>
      <c r="D51" s="206"/>
      <c r="E51" s="207"/>
      <c r="F51" s="124"/>
      <c r="G51" s="126"/>
      <c r="H51" s="197"/>
      <c r="I51" s="197"/>
      <c r="J51" s="197"/>
      <c r="K51" s="197"/>
      <c r="L51" s="197"/>
      <c r="M51" s="197"/>
      <c r="N51" s="24"/>
      <c r="O51" s="24"/>
      <c r="P51" s="24"/>
      <c r="Q51" s="27"/>
      <c r="R51" s="197"/>
      <c r="S51" s="197"/>
      <c r="T51" s="197"/>
      <c r="U51" s="25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</row>
    <row r="52" spans="1:73" s="1" customFormat="1" ht="16.5" customHeight="1" x14ac:dyDescent="0.2">
      <c r="A52"/>
      <c r="B52" s="132">
        <v>6</v>
      </c>
      <c r="C52" s="201"/>
      <c r="D52" s="202"/>
      <c r="E52" s="203"/>
      <c r="F52" s="125"/>
      <c r="G52" s="125"/>
      <c r="H52" s="197"/>
      <c r="I52" s="197"/>
      <c r="J52" s="197"/>
      <c r="K52" s="197"/>
      <c r="L52" s="197"/>
      <c r="M52" s="197"/>
      <c r="N52" s="24"/>
      <c r="O52" s="24"/>
      <c r="P52" s="24"/>
      <c r="Q52" s="27"/>
      <c r="R52" s="197"/>
      <c r="S52" s="197"/>
      <c r="T52" s="197"/>
      <c r="U52" s="25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</row>
    <row r="53" spans="1:73" s="1" customFormat="1" ht="16.5" customHeight="1" x14ac:dyDescent="0.2">
      <c r="A53"/>
      <c r="B53" s="132">
        <v>6</v>
      </c>
      <c r="C53" s="192"/>
      <c r="D53" s="193"/>
      <c r="E53" s="194"/>
      <c r="F53" s="126"/>
      <c r="G53" s="126"/>
      <c r="H53" s="197"/>
      <c r="I53" s="197"/>
      <c r="J53" s="197"/>
      <c r="K53" s="197"/>
      <c r="L53" s="197"/>
      <c r="M53" s="197"/>
      <c r="N53" s="24"/>
      <c r="O53" s="24"/>
      <c r="P53" s="24"/>
      <c r="Q53" s="27"/>
      <c r="R53" s="197"/>
      <c r="S53" s="197"/>
      <c r="T53" s="197"/>
      <c r="U53" s="25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</row>
    <row r="54" spans="1:73" s="1" customFormat="1" ht="16.5" customHeight="1" x14ac:dyDescent="0.2">
      <c r="A54"/>
      <c r="B54" s="132">
        <v>6</v>
      </c>
      <c r="C54" s="233"/>
      <c r="D54" s="197"/>
      <c r="E54" s="234"/>
      <c r="F54" s="124"/>
      <c r="G54" s="126"/>
      <c r="H54" s="197"/>
      <c r="I54" s="197"/>
      <c r="J54" s="197"/>
      <c r="K54" s="197"/>
      <c r="L54" s="197"/>
      <c r="M54" s="197"/>
      <c r="N54" s="24"/>
      <c r="O54" s="24"/>
      <c r="P54" s="24"/>
      <c r="Q54" s="27"/>
      <c r="R54" s="197"/>
      <c r="S54" s="197"/>
      <c r="T54" s="197"/>
      <c r="U54" s="25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</row>
    <row r="55" spans="1:73" s="1" customFormat="1" ht="16.5" customHeight="1" thickBot="1" x14ac:dyDescent="0.25">
      <c r="A55"/>
      <c r="B55" s="132">
        <v>6</v>
      </c>
      <c r="C55" s="205"/>
      <c r="D55" s="206"/>
      <c r="E55" s="207"/>
      <c r="F55" s="124"/>
      <c r="G55" s="24"/>
      <c r="H55" s="197"/>
      <c r="I55" s="197"/>
      <c r="J55" s="197"/>
      <c r="K55" s="197"/>
      <c r="L55" s="197"/>
      <c r="M55" s="197"/>
      <c r="N55" s="24"/>
      <c r="O55" s="24"/>
      <c r="P55" s="24"/>
      <c r="Q55" s="27"/>
      <c r="R55" s="197"/>
      <c r="S55" s="197"/>
      <c r="T55" s="197"/>
      <c r="U55" s="25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</row>
    <row r="56" spans="1:73" s="1" customFormat="1" ht="16.5" customHeight="1" x14ac:dyDescent="0.2">
      <c r="A56"/>
      <c r="B56" s="133">
        <v>7</v>
      </c>
      <c r="C56" s="230"/>
      <c r="D56" s="231"/>
      <c r="E56" s="232"/>
      <c r="F56" s="124"/>
      <c r="G56" s="126"/>
      <c r="H56" s="197"/>
      <c r="I56" s="197"/>
      <c r="J56" s="197"/>
      <c r="K56" s="197"/>
      <c r="L56" s="197"/>
      <c r="M56" s="197"/>
      <c r="N56" s="24"/>
      <c r="O56" s="24"/>
      <c r="P56" s="24"/>
      <c r="Q56" s="27"/>
      <c r="R56" s="197"/>
      <c r="S56" s="197"/>
      <c r="T56" s="197"/>
      <c r="U56" s="25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</row>
    <row r="57" spans="1:73" s="1" customFormat="1" ht="16.5" customHeight="1" x14ac:dyDescent="0.2">
      <c r="A57"/>
      <c r="B57" s="133">
        <v>7</v>
      </c>
      <c r="C57" s="233"/>
      <c r="D57" s="197"/>
      <c r="E57" s="234"/>
      <c r="F57" s="124"/>
      <c r="G57" s="126"/>
      <c r="H57" s="197"/>
      <c r="I57" s="197"/>
      <c r="J57" s="197"/>
      <c r="K57" s="197"/>
      <c r="L57" s="197"/>
      <c r="M57" s="197"/>
      <c r="N57" s="24"/>
      <c r="O57" s="24"/>
      <c r="P57" s="24"/>
      <c r="Q57" s="27"/>
      <c r="R57" s="197"/>
      <c r="S57" s="197"/>
      <c r="T57" s="197"/>
      <c r="U57" s="25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</row>
    <row r="58" spans="1:73" s="1" customFormat="1" ht="16.5" customHeight="1" x14ac:dyDescent="0.2">
      <c r="A58"/>
      <c r="B58" s="133">
        <v>7</v>
      </c>
      <c r="C58" s="233"/>
      <c r="D58" s="197"/>
      <c r="E58" s="234"/>
      <c r="F58" s="124"/>
      <c r="G58" s="126"/>
      <c r="H58" s="197"/>
      <c r="I58" s="197"/>
      <c r="J58" s="197"/>
      <c r="K58" s="197"/>
      <c r="L58" s="197"/>
      <c r="M58" s="197"/>
      <c r="N58" s="24"/>
      <c r="O58" s="24"/>
      <c r="P58" s="24"/>
      <c r="Q58" s="27"/>
      <c r="R58" s="197"/>
      <c r="S58" s="197"/>
      <c r="T58" s="197"/>
      <c r="U58" s="25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</row>
    <row r="59" spans="1:73" s="1" customFormat="1" ht="16.5" customHeight="1" thickBot="1" x14ac:dyDescent="0.25">
      <c r="A59"/>
      <c r="B59" s="133">
        <v>7</v>
      </c>
      <c r="C59" s="205"/>
      <c r="D59" s="206"/>
      <c r="E59" s="207"/>
      <c r="F59" s="124"/>
      <c r="G59" s="126"/>
      <c r="H59" s="197"/>
      <c r="I59" s="197"/>
      <c r="J59" s="197"/>
      <c r="K59" s="197"/>
      <c r="L59" s="197"/>
      <c r="M59" s="197"/>
      <c r="N59" s="24"/>
      <c r="O59" s="24"/>
      <c r="P59" s="24"/>
      <c r="Q59" s="27"/>
      <c r="R59" s="197"/>
      <c r="S59" s="197"/>
      <c r="T59" s="197"/>
      <c r="U59" s="25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</row>
    <row r="60" spans="1:73" s="1" customFormat="1" ht="16.5" customHeight="1" x14ac:dyDescent="0.2">
      <c r="A60"/>
      <c r="B60" s="134">
        <v>8</v>
      </c>
      <c r="C60" s="230"/>
      <c r="D60" s="231"/>
      <c r="E60" s="232"/>
      <c r="F60" s="124"/>
      <c r="G60" s="126"/>
      <c r="H60" s="197"/>
      <c r="I60" s="197"/>
      <c r="J60" s="197"/>
      <c r="K60" s="197"/>
      <c r="L60" s="197"/>
      <c r="M60" s="197"/>
      <c r="N60" s="24"/>
      <c r="O60" s="24"/>
      <c r="P60" s="24"/>
      <c r="Q60" s="27"/>
      <c r="R60" s="197"/>
      <c r="S60" s="197"/>
      <c r="T60" s="197"/>
      <c r="U60" s="25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</row>
    <row r="61" spans="1:73" s="1" customFormat="1" ht="16.5" customHeight="1" x14ac:dyDescent="0.2">
      <c r="A61"/>
      <c r="B61" s="134">
        <v>8</v>
      </c>
      <c r="C61" s="233"/>
      <c r="D61" s="197"/>
      <c r="E61" s="234"/>
      <c r="F61" s="124"/>
      <c r="G61" s="126"/>
      <c r="H61" s="197"/>
      <c r="I61" s="197"/>
      <c r="J61" s="197"/>
      <c r="K61" s="197"/>
      <c r="L61" s="197"/>
      <c r="M61" s="197"/>
      <c r="N61" s="24"/>
      <c r="O61" s="24"/>
      <c r="P61" s="24"/>
      <c r="Q61" s="27"/>
      <c r="R61" s="197"/>
      <c r="S61" s="197"/>
      <c r="T61" s="197"/>
      <c r="U61" s="25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</row>
    <row r="62" spans="1:73" s="1" customFormat="1" ht="16.5" customHeight="1" x14ac:dyDescent="0.2">
      <c r="A62"/>
      <c r="B62" s="134">
        <v>8</v>
      </c>
      <c r="C62" s="233"/>
      <c r="D62" s="197"/>
      <c r="E62" s="234"/>
      <c r="F62" s="124"/>
      <c r="G62" s="126"/>
      <c r="H62" s="197"/>
      <c r="I62" s="197"/>
      <c r="J62" s="197"/>
      <c r="K62" s="197"/>
      <c r="L62" s="197"/>
      <c r="M62" s="197"/>
      <c r="N62" s="24"/>
      <c r="O62" s="24"/>
      <c r="P62" s="24"/>
      <c r="Q62" s="27"/>
      <c r="R62" s="197"/>
      <c r="S62" s="197"/>
      <c r="T62" s="197"/>
      <c r="U62" s="25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</row>
    <row r="63" spans="1:73" s="1" customFormat="1" ht="16.5" customHeight="1" thickBot="1" x14ac:dyDescent="0.25">
      <c r="A63"/>
      <c r="B63" s="134">
        <v>8</v>
      </c>
      <c r="C63" s="205"/>
      <c r="D63" s="206"/>
      <c r="E63" s="207"/>
      <c r="F63" s="124"/>
      <c r="G63" s="126"/>
      <c r="H63" s="197"/>
      <c r="I63" s="197"/>
      <c r="J63" s="197"/>
      <c r="K63" s="197"/>
      <c r="L63" s="197"/>
      <c r="M63" s="197"/>
      <c r="N63" s="24"/>
      <c r="O63" s="24"/>
      <c r="P63" s="24"/>
      <c r="Q63" s="27"/>
      <c r="R63" s="197"/>
      <c r="S63" s="197"/>
      <c r="T63" s="197"/>
      <c r="U63" s="25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</row>
    <row r="64" spans="1:73" s="1" customFormat="1" ht="16.5" customHeight="1" x14ac:dyDescent="0.2">
      <c r="A64"/>
      <c r="B64" s="135">
        <v>9</v>
      </c>
      <c r="C64" s="136"/>
      <c r="D64" s="137"/>
      <c r="E64" s="138"/>
      <c r="F64" s="118"/>
      <c r="G64" s="126"/>
      <c r="H64" s="218"/>
      <c r="I64" s="219"/>
      <c r="J64" s="220"/>
      <c r="K64" s="197"/>
      <c r="L64" s="197"/>
      <c r="M64" s="197"/>
      <c r="N64" s="24"/>
      <c r="O64" s="24"/>
      <c r="P64" s="24"/>
      <c r="Q64" s="27"/>
      <c r="R64" s="197"/>
      <c r="S64" s="197"/>
      <c r="T64" s="197"/>
      <c r="U64" s="25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</row>
    <row r="65" spans="1:73" s="1" customFormat="1" ht="16.5" customHeight="1" x14ac:dyDescent="0.2">
      <c r="A65"/>
      <c r="B65" s="135">
        <v>9</v>
      </c>
      <c r="C65" s="139"/>
      <c r="D65" s="117"/>
      <c r="E65" s="140"/>
      <c r="F65" s="118"/>
      <c r="G65" s="126"/>
      <c r="H65" s="218"/>
      <c r="I65" s="219"/>
      <c r="J65" s="220"/>
      <c r="K65" s="197"/>
      <c r="L65" s="197"/>
      <c r="M65" s="197"/>
      <c r="N65" s="24"/>
      <c r="O65" s="24"/>
      <c r="P65" s="24"/>
      <c r="Q65" s="27"/>
      <c r="R65" s="197"/>
      <c r="S65" s="197"/>
      <c r="T65" s="197"/>
      <c r="U65" s="25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</row>
    <row r="66" spans="1:73" s="1" customFormat="1" ht="16.5" customHeight="1" thickBot="1" x14ac:dyDescent="0.25">
      <c r="A66"/>
      <c r="B66" s="135">
        <v>9</v>
      </c>
      <c r="C66" s="142"/>
      <c r="D66" s="143"/>
      <c r="E66" s="144"/>
      <c r="F66" s="118"/>
      <c r="G66" s="126"/>
      <c r="H66" s="218"/>
      <c r="I66" s="219"/>
      <c r="J66" s="220"/>
      <c r="K66" s="197"/>
      <c r="L66" s="197"/>
      <c r="M66" s="197"/>
      <c r="N66" s="24"/>
      <c r="O66" s="24"/>
      <c r="P66" s="24"/>
      <c r="Q66" s="27"/>
      <c r="R66" s="197"/>
      <c r="S66" s="197"/>
      <c r="T66" s="197"/>
      <c r="U66" s="25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</row>
    <row r="67" spans="1:73" s="1" customFormat="1" ht="16.5" customHeight="1" x14ac:dyDescent="0.2">
      <c r="A67"/>
      <c r="B67" s="141">
        <v>10</v>
      </c>
      <c r="C67" s="230"/>
      <c r="D67" s="231"/>
      <c r="E67" s="232"/>
      <c r="F67" s="124"/>
      <c r="G67" s="126"/>
      <c r="H67" s="197"/>
      <c r="I67" s="197"/>
      <c r="J67" s="197"/>
      <c r="K67" s="197"/>
      <c r="L67" s="197"/>
      <c r="M67" s="197"/>
      <c r="N67" s="24"/>
      <c r="O67" s="24"/>
      <c r="P67" s="24"/>
      <c r="Q67" s="27"/>
      <c r="R67" s="197"/>
      <c r="S67" s="197"/>
      <c r="T67" s="197"/>
      <c r="U67" s="25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</row>
    <row r="68" spans="1:73" s="1" customFormat="1" ht="16.5" customHeight="1" thickBot="1" x14ac:dyDescent="0.25">
      <c r="A68"/>
      <c r="B68" s="141">
        <v>10</v>
      </c>
      <c r="C68" s="205"/>
      <c r="D68" s="206"/>
      <c r="E68" s="207"/>
      <c r="F68" s="124"/>
      <c r="G68" s="126"/>
      <c r="H68" s="197"/>
      <c r="I68" s="197"/>
      <c r="J68" s="197"/>
      <c r="K68" s="197"/>
      <c r="L68" s="197"/>
      <c r="M68" s="197"/>
      <c r="N68" s="24"/>
      <c r="O68" s="24"/>
      <c r="P68" s="24"/>
      <c r="Q68" s="27"/>
      <c r="R68" s="197"/>
      <c r="S68" s="197"/>
      <c r="T68" s="197"/>
      <c r="U68" s="25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</row>
    <row r="69" spans="1:73" s="1" customFormat="1" ht="16.5" customHeight="1" thickBot="1" x14ac:dyDescent="0.25">
      <c r="A69"/>
      <c r="B69" s="145">
        <v>11</v>
      </c>
      <c r="C69" s="235"/>
      <c r="D69" s="236"/>
      <c r="E69" s="237"/>
      <c r="F69" s="124"/>
      <c r="G69" s="126"/>
      <c r="H69" s="197"/>
      <c r="I69" s="197"/>
      <c r="J69" s="197"/>
      <c r="K69" s="197"/>
      <c r="L69" s="197"/>
      <c r="M69" s="197"/>
      <c r="N69" s="24"/>
      <c r="O69" s="24"/>
      <c r="P69" s="24"/>
      <c r="Q69" s="27"/>
      <c r="R69" s="197"/>
      <c r="S69" s="197"/>
      <c r="T69" s="197"/>
      <c r="U69" s="25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</row>
    <row r="70" spans="1:73" s="29" customFormat="1" ht="16.5" customHeight="1" thickBot="1" x14ac:dyDescent="0.25">
      <c r="A70"/>
      <c r="B70" s="146">
        <v>12</v>
      </c>
      <c r="C70" s="235"/>
      <c r="D70" s="236"/>
      <c r="E70" s="237"/>
      <c r="F70" s="124"/>
      <c r="G70" s="126"/>
      <c r="H70" s="197"/>
      <c r="I70" s="197"/>
      <c r="J70" s="197"/>
      <c r="K70" s="197"/>
      <c r="L70" s="197"/>
      <c r="M70" s="197"/>
      <c r="N70" s="24"/>
      <c r="O70" s="24"/>
      <c r="P70" s="24"/>
      <c r="Q70" s="27"/>
      <c r="R70" s="197"/>
      <c r="S70" s="197"/>
      <c r="T70" s="197"/>
      <c r="U70" s="25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</row>
    <row r="71" spans="1:73" s="1" customFormat="1" ht="16.5" customHeight="1" thickBot="1" x14ac:dyDescent="0.25">
      <c r="B71" s="135">
        <v>13</v>
      </c>
      <c r="C71" s="238"/>
      <c r="D71" s="239"/>
      <c r="E71" s="240"/>
      <c r="F71" s="124"/>
      <c r="G71" s="126"/>
      <c r="H71" s="197"/>
      <c r="I71" s="197"/>
      <c r="J71" s="197"/>
      <c r="K71" s="197"/>
      <c r="L71" s="197"/>
      <c r="M71" s="197"/>
      <c r="N71" s="24"/>
      <c r="O71" s="24"/>
      <c r="P71" s="24"/>
      <c r="Q71" s="27"/>
      <c r="R71" s="197"/>
      <c r="S71" s="197"/>
      <c r="T71" s="197"/>
      <c r="U71" s="25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</row>
    <row r="72" spans="1:73" s="1" customFormat="1" ht="16.5" customHeight="1" x14ac:dyDescent="0.2">
      <c r="B72" s="34"/>
      <c r="C72" s="211"/>
      <c r="D72" s="211"/>
      <c r="E72" s="211"/>
      <c r="F72" s="27"/>
      <c r="G72" s="24"/>
      <c r="H72" s="197"/>
      <c r="I72" s="197"/>
      <c r="J72" s="197"/>
      <c r="K72" s="197"/>
      <c r="L72" s="197"/>
      <c r="M72" s="197"/>
      <c r="N72" s="24"/>
      <c r="O72" s="24"/>
      <c r="P72" s="24"/>
      <c r="Q72" s="27"/>
      <c r="R72" s="197"/>
      <c r="S72" s="197"/>
      <c r="T72" s="197"/>
      <c r="U72" s="25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</row>
    <row r="73" spans="1:73" s="1" customFormat="1" ht="16.5" customHeight="1" x14ac:dyDescent="0.2">
      <c r="J73" s="197"/>
      <c r="K73" s="197"/>
      <c r="L73" s="197"/>
      <c r="M73" s="24"/>
      <c r="N73" s="24"/>
      <c r="O73" s="24"/>
      <c r="P73" s="27"/>
      <c r="Q73" s="197"/>
      <c r="R73" s="197"/>
      <c r="S73" s="197"/>
      <c r="T73" s="25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</row>
    <row r="74" spans="1:73" s="1" customFormat="1" ht="23.25" customHeight="1" x14ac:dyDescent="0.2">
      <c r="C74" s="2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</row>
    <row r="75" spans="1:73" s="1" customFormat="1" ht="23.25" customHeight="1" x14ac:dyDescent="0.2">
      <c r="C75" s="2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</row>
    <row r="76" spans="1:73" s="1" customFormat="1" ht="23.25" customHeight="1" thickBot="1" x14ac:dyDescent="0.25">
      <c r="C76" s="2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</row>
    <row r="77" spans="1:73" s="1" customFormat="1" ht="42" customHeight="1" x14ac:dyDescent="0.2">
      <c r="B77" s="34">
        <v>9</v>
      </c>
      <c r="C77" s="248" t="s">
        <v>48</v>
      </c>
      <c r="D77" s="249"/>
      <c r="E77" s="250"/>
      <c r="F77" s="37"/>
      <c r="G77" s="37"/>
      <c r="H77" s="37"/>
      <c r="I77" s="37"/>
      <c r="J77" s="37"/>
      <c r="K77" s="37"/>
      <c r="L77" s="38"/>
      <c r="M77" s="39"/>
      <c r="N77" s="39"/>
      <c r="O77" s="39"/>
      <c r="P77" s="39"/>
      <c r="Q77" s="39"/>
      <c r="R77" s="39"/>
      <c r="S77" s="39"/>
      <c r="T77" s="39"/>
      <c r="U77" s="116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</row>
    <row r="78" spans="1:73" ht="38.25" customHeight="1" x14ac:dyDescent="0.2">
      <c r="B78" s="36">
        <v>10</v>
      </c>
      <c r="C78" s="40"/>
      <c r="D78" s="40" t="s">
        <v>49</v>
      </c>
      <c r="E78" s="40"/>
      <c r="F78" s="40" t="s">
        <v>50</v>
      </c>
      <c r="G78" s="40"/>
      <c r="H78" s="40" t="s">
        <v>51</v>
      </c>
      <c r="I78" s="40"/>
      <c r="J78" s="40"/>
      <c r="K78" s="40" t="s">
        <v>52</v>
      </c>
      <c r="L78" s="41"/>
      <c r="M78" s="3"/>
      <c r="N78" s="3"/>
      <c r="O78" s="3"/>
      <c r="P78" s="3"/>
    </row>
    <row r="79" spans="1:73" ht="21" customHeight="1" thickBot="1" x14ac:dyDescent="0.25">
      <c r="B79" s="42" t="s">
        <v>53</v>
      </c>
      <c r="C79" s="43" t="s">
        <v>54</v>
      </c>
      <c r="D79" s="43" t="s">
        <v>55</v>
      </c>
      <c r="E79" s="43" t="s">
        <v>56</v>
      </c>
      <c r="F79" s="43" t="s">
        <v>57</v>
      </c>
      <c r="G79" s="43" t="s">
        <v>58</v>
      </c>
      <c r="H79" s="43" t="s">
        <v>57</v>
      </c>
      <c r="I79" s="43" t="s">
        <v>59</v>
      </c>
      <c r="J79" s="43" t="s">
        <v>58</v>
      </c>
      <c r="K79" s="43" t="s">
        <v>60</v>
      </c>
      <c r="L79" s="44" t="s">
        <v>61</v>
      </c>
      <c r="M79" s="3"/>
      <c r="N79" s="3"/>
      <c r="O79" s="3"/>
      <c r="P79" s="3"/>
    </row>
    <row r="80" spans="1:73" ht="23.25" customHeight="1" x14ac:dyDescent="0.2">
      <c r="B80" s="45">
        <v>1</v>
      </c>
      <c r="C80" s="46">
        <v>45019</v>
      </c>
      <c r="D80" s="47"/>
      <c r="E80" s="47"/>
      <c r="F80" s="48"/>
      <c r="G80" s="48"/>
      <c r="H80" s="47"/>
      <c r="I80" s="47"/>
      <c r="J80" s="47"/>
      <c r="K80" s="48"/>
      <c r="L80" s="49"/>
      <c r="M80" s="3"/>
      <c r="N80" s="3"/>
      <c r="O80" s="3"/>
      <c r="P80" s="3"/>
    </row>
    <row r="81" spans="2:72" ht="23.25" customHeight="1" x14ac:dyDescent="0.2">
      <c r="B81" s="50">
        <v>2</v>
      </c>
      <c r="C81" s="51">
        <v>45026</v>
      </c>
      <c r="D81" s="52"/>
      <c r="E81" s="52"/>
      <c r="F81" s="53"/>
      <c r="G81" s="53"/>
      <c r="H81" s="52"/>
      <c r="I81" s="52"/>
      <c r="J81" s="52"/>
      <c r="K81" s="53"/>
      <c r="L81" s="54"/>
      <c r="M81" s="3"/>
      <c r="N81" s="3"/>
      <c r="O81" s="3"/>
      <c r="P81" s="3"/>
    </row>
    <row r="82" spans="2:72" ht="23.25" customHeight="1" x14ac:dyDescent="0.2">
      <c r="B82" s="50">
        <v>3</v>
      </c>
      <c r="C82" s="51">
        <f t="shared" ref="C82:C131" si="1">C81+7</f>
        <v>45033</v>
      </c>
      <c r="D82" s="52"/>
      <c r="E82" s="52"/>
      <c r="F82" s="53"/>
      <c r="G82" s="53"/>
      <c r="H82" s="52"/>
      <c r="I82" s="52"/>
      <c r="J82" s="52"/>
      <c r="K82" s="53"/>
      <c r="L82" s="54"/>
      <c r="M82" s="3"/>
      <c r="N82" s="3"/>
      <c r="O82" s="3"/>
      <c r="P82" s="3"/>
    </row>
    <row r="83" spans="2:72" ht="23.25" customHeight="1" x14ac:dyDescent="0.2">
      <c r="B83" s="50">
        <v>4</v>
      </c>
      <c r="C83" s="51">
        <f t="shared" si="1"/>
        <v>45040</v>
      </c>
      <c r="D83" s="52"/>
      <c r="E83" s="52"/>
      <c r="F83" s="53"/>
      <c r="G83" s="53"/>
      <c r="H83" s="52"/>
      <c r="I83" s="52"/>
      <c r="J83" s="52"/>
      <c r="K83" s="53"/>
      <c r="L83" s="54"/>
      <c r="M83" s="3"/>
      <c r="N83" s="3"/>
      <c r="O83" s="3"/>
      <c r="P83" s="3"/>
    </row>
    <row r="84" spans="2:72" ht="23.25" customHeight="1" x14ac:dyDescent="0.2">
      <c r="B84" s="50">
        <v>5</v>
      </c>
      <c r="C84" s="51">
        <f t="shared" si="1"/>
        <v>45047</v>
      </c>
      <c r="D84" s="52"/>
      <c r="E84" s="52"/>
      <c r="F84" s="53"/>
      <c r="G84" s="53"/>
      <c r="H84" s="52"/>
      <c r="I84" s="52"/>
      <c r="J84" s="52"/>
      <c r="K84" s="53"/>
      <c r="L84" s="54"/>
      <c r="M84" s="3"/>
      <c r="N84" s="3"/>
      <c r="O84" s="3"/>
      <c r="P84" s="3"/>
    </row>
    <row r="85" spans="2:72" ht="23.25" customHeight="1" x14ac:dyDescent="0.2">
      <c r="B85" s="50">
        <v>6</v>
      </c>
      <c r="C85" s="51">
        <f t="shared" si="1"/>
        <v>45054</v>
      </c>
      <c r="D85" s="52"/>
      <c r="E85" s="52"/>
      <c r="F85" s="53"/>
      <c r="G85" s="53"/>
      <c r="H85" s="52"/>
      <c r="I85" s="52"/>
      <c r="J85" s="52"/>
      <c r="K85" s="53"/>
      <c r="L85" s="54"/>
      <c r="M85" s="3"/>
      <c r="N85" s="3"/>
      <c r="O85" s="3"/>
      <c r="P85" s="3"/>
    </row>
    <row r="86" spans="2:72" ht="23.25" customHeight="1" x14ac:dyDescent="0.2">
      <c r="B86" s="50">
        <v>7</v>
      </c>
      <c r="C86" s="51">
        <f t="shared" si="1"/>
        <v>45061</v>
      </c>
      <c r="D86" s="52"/>
      <c r="E86" s="52"/>
      <c r="F86" s="53"/>
      <c r="G86" s="53"/>
      <c r="H86" s="52"/>
      <c r="I86" s="52"/>
      <c r="J86" s="52"/>
      <c r="K86" s="53"/>
      <c r="L86" s="54"/>
      <c r="M86" s="3"/>
      <c r="N86" s="3"/>
      <c r="O86" s="3"/>
      <c r="P86" s="3"/>
    </row>
    <row r="87" spans="2:72" ht="23.25" customHeight="1" x14ac:dyDescent="0.2">
      <c r="B87" s="50">
        <v>8</v>
      </c>
      <c r="C87" s="51">
        <f t="shared" si="1"/>
        <v>45068</v>
      </c>
      <c r="D87" s="52"/>
      <c r="E87" s="52"/>
      <c r="F87" s="53"/>
      <c r="G87" s="53"/>
      <c r="H87" s="52"/>
      <c r="J87" s="52"/>
      <c r="K87" s="53"/>
      <c r="L87" s="54"/>
      <c r="M87" s="3"/>
      <c r="N87" s="3"/>
      <c r="O87" s="3"/>
      <c r="P87" s="3"/>
    </row>
    <row r="88" spans="2:72" ht="23.25" customHeight="1" thickBot="1" x14ac:dyDescent="0.25">
      <c r="B88" s="50">
        <v>9</v>
      </c>
      <c r="C88" s="51">
        <f t="shared" si="1"/>
        <v>45075</v>
      </c>
      <c r="D88" s="52"/>
      <c r="E88" s="52"/>
      <c r="F88" s="53"/>
      <c r="G88" s="53"/>
      <c r="H88" s="52"/>
      <c r="I88" s="52"/>
      <c r="J88" s="52"/>
      <c r="K88" s="53"/>
      <c r="L88" s="54"/>
      <c r="M88" s="3"/>
      <c r="N88" s="3"/>
      <c r="O88" s="3"/>
      <c r="P88" s="3"/>
    </row>
    <row r="89" spans="2:72" ht="23.25" customHeight="1" x14ac:dyDescent="0.2">
      <c r="B89" s="50">
        <v>10</v>
      </c>
      <c r="C89" s="51">
        <f t="shared" si="1"/>
        <v>45082</v>
      </c>
      <c r="D89" s="52"/>
      <c r="E89" s="52"/>
      <c r="F89" s="53"/>
      <c r="G89" s="53"/>
      <c r="H89" s="52"/>
      <c r="I89" s="52"/>
      <c r="J89" s="52"/>
      <c r="K89" s="53"/>
      <c r="L89" s="54"/>
      <c r="M89" s="3"/>
      <c r="N89" s="241" t="s">
        <v>62</v>
      </c>
      <c r="O89" s="242"/>
      <c r="P89" s="243"/>
    </row>
    <row r="90" spans="2:72" ht="23.25" customHeight="1" x14ac:dyDescent="0.2">
      <c r="B90" s="50">
        <v>11</v>
      </c>
      <c r="C90" s="51">
        <f t="shared" si="1"/>
        <v>45089</v>
      </c>
      <c r="D90" s="52"/>
      <c r="E90" s="52"/>
      <c r="F90" s="53"/>
      <c r="G90" s="53"/>
      <c r="H90" s="52"/>
      <c r="I90" s="52"/>
      <c r="J90" s="52"/>
      <c r="K90" s="53"/>
      <c r="L90" s="54"/>
      <c r="M90" s="3"/>
      <c r="N90" s="244" t="s">
        <v>63</v>
      </c>
      <c r="O90" s="245"/>
      <c r="P90" s="55">
        <f>SUM(D80:D93)</f>
        <v>0</v>
      </c>
    </row>
    <row r="91" spans="2:72" ht="23.25" customHeight="1" x14ac:dyDescent="0.2">
      <c r="B91" s="50">
        <v>12</v>
      </c>
      <c r="C91" s="51">
        <f t="shared" si="1"/>
        <v>45096</v>
      </c>
      <c r="D91" s="52"/>
      <c r="E91" s="52"/>
      <c r="F91" s="53"/>
      <c r="G91" s="53"/>
      <c r="H91" s="52"/>
      <c r="I91" s="52"/>
      <c r="J91" s="52"/>
      <c r="K91" s="53"/>
      <c r="L91" s="54"/>
      <c r="M91" s="3"/>
      <c r="N91" s="244" t="s">
        <v>64</v>
      </c>
      <c r="O91" s="245"/>
      <c r="P91" s="55">
        <f>SUM(G80:G93)</f>
        <v>0</v>
      </c>
    </row>
    <row r="92" spans="2:72" ht="23.25" customHeight="1" x14ac:dyDescent="0.2">
      <c r="B92" s="50">
        <v>13</v>
      </c>
      <c r="C92" s="51">
        <f t="shared" si="1"/>
        <v>45103</v>
      </c>
      <c r="D92" s="52"/>
      <c r="E92" s="52"/>
      <c r="F92" s="53"/>
      <c r="G92" s="53"/>
      <c r="H92" s="52"/>
      <c r="I92" s="52"/>
      <c r="J92" s="52"/>
      <c r="K92" s="53"/>
      <c r="L92" s="54"/>
      <c r="M92" s="3"/>
      <c r="N92" s="244" t="s">
        <v>65</v>
      </c>
      <c r="O92" s="245"/>
      <c r="P92" s="55">
        <f>SUM(J80:J93)</f>
        <v>0</v>
      </c>
    </row>
    <row r="93" spans="2:72" ht="23.25" customHeight="1" thickBot="1" x14ac:dyDescent="0.25">
      <c r="B93" s="56">
        <v>14</v>
      </c>
      <c r="C93" s="51">
        <f t="shared" si="1"/>
        <v>45110</v>
      </c>
      <c r="D93" s="57"/>
      <c r="E93" s="57"/>
      <c r="F93" s="58"/>
      <c r="G93" s="58"/>
      <c r="H93" s="57"/>
      <c r="I93" s="57"/>
      <c r="J93" s="57"/>
      <c r="K93" s="58"/>
      <c r="L93" s="59"/>
      <c r="M93" s="3"/>
      <c r="N93" s="246" t="s">
        <v>66</v>
      </c>
      <c r="O93" s="247"/>
      <c r="P93" s="60">
        <f>SUM(L80:L93)</f>
        <v>0</v>
      </c>
    </row>
    <row r="94" spans="2:72" ht="23.25" customHeight="1" x14ac:dyDescent="0.2">
      <c r="B94" s="45">
        <v>15</v>
      </c>
      <c r="C94" s="51">
        <f t="shared" si="1"/>
        <v>45117</v>
      </c>
      <c r="D94" s="47"/>
      <c r="E94" s="47"/>
      <c r="F94" s="48"/>
      <c r="G94" s="48"/>
      <c r="H94" s="47"/>
      <c r="I94" s="47"/>
      <c r="J94" s="47"/>
      <c r="K94" s="48"/>
      <c r="L94" s="49"/>
      <c r="M94" s="3"/>
      <c r="N94" s="3"/>
      <c r="O94" s="3"/>
      <c r="P94" s="3"/>
    </row>
    <row r="95" spans="2:72" s="1" customFormat="1" ht="23.25" customHeight="1" x14ac:dyDescent="0.2">
      <c r="B95" s="50">
        <v>16</v>
      </c>
      <c r="C95" s="51">
        <f t="shared" si="1"/>
        <v>45124</v>
      </c>
      <c r="D95" s="52"/>
      <c r="E95" s="52"/>
      <c r="F95" s="53"/>
      <c r="G95" s="53"/>
      <c r="H95" s="52"/>
      <c r="I95" s="52"/>
      <c r="J95" s="52"/>
      <c r="K95" s="53"/>
      <c r="L95" s="5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</row>
    <row r="96" spans="2:72" s="1" customFormat="1" ht="23.25" customHeight="1" x14ac:dyDescent="0.2">
      <c r="B96" s="50">
        <v>17</v>
      </c>
      <c r="C96" s="51">
        <f t="shared" si="1"/>
        <v>45131</v>
      </c>
      <c r="D96" s="52"/>
      <c r="E96" s="52"/>
      <c r="F96" s="53"/>
      <c r="G96" s="53"/>
      <c r="H96" s="52"/>
      <c r="I96" s="52"/>
      <c r="J96" s="52"/>
      <c r="K96" s="53"/>
      <c r="L96" s="5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</row>
    <row r="97" spans="2:72" s="1" customFormat="1" ht="23.25" customHeight="1" x14ac:dyDescent="0.2">
      <c r="B97" s="50">
        <v>18</v>
      </c>
      <c r="C97" s="51">
        <f t="shared" si="1"/>
        <v>45138</v>
      </c>
      <c r="D97" s="52"/>
      <c r="E97" s="52"/>
      <c r="F97" s="53"/>
      <c r="G97" s="53"/>
      <c r="H97" s="52"/>
      <c r="I97" s="52"/>
      <c r="J97" s="52"/>
      <c r="K97" s="53"/>
      <c r="L97" s="5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</row>
    <row r="98" spans="2:72" s="1" customFormat="1" ht="23.25" customHeight="1" x14ac:dyDescent="0.2">
      <c r="B98" s="50">
        <v>19</v>
      </c>
      <c r="C98" s="51">
        <f t="shared" si="1"/>
        <v>45145</v>
      </c>
      <c r="D98" s="52"/>
      <c r="E98" s="52"/>
      <c r="F98" s="53"/>
      <c r="G98" s="53"/>
      <c r="H98" s="52"/>
      <c r="I98" s="52"/>
      <c r="J98" s="52"/>
      <c r="K98" s="53"/>
      <c r="L98" s="5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</row>
    <row r="99" spans="2:72" s="1" customFormat="1" ht="23.25" customHeight="1" x14ac:dyDescent="0.2">
      <c r="B99" s="50">
        <v>20</v>
      </c>
      <c r="C99" s="51">
        <f t="shared" si="1"/>
        <v>45152</v>
      </c>
      <c r="D99" s="52"/>
      <c r="E99" s="52"/>
      <c r="F99" s="53"/>
      <c r="G99" s="53"/>
      <c r="H99" s="52"/>
      <c r="I99" s="52"/>
      <c r="J99" s="52"/>
      <c r="K99" s="53"/>
      <c r="L99" s="5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</row>
    <row r="100" spans="2:72" s="1" customFormat="1" ht="23.25" customHeight="1" x14ac:dyDescent="0.2">
      <c r="B100" s="50">
        <v>21</v>
      </c>
      <c r="C100" s="51">
        <f t="shared" si="1"/>
        <v>45159</v>
      </c>
      <c r="D100" s="52"/>
      <c r="E100" s="52"/>
      <c r="F100" s="53"/>
      <c r="G100" s="53"/>
      <c r="H100" s="52"/>
      <c r="I100" s="52"/>
      <c r="J100" s="52"/>
      <c r="K100" s="53"/>
      <c r="L100" s="5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</row>
    <row r="101" spans="2:72" s="1" customFormat="1" ht="23.25" customHeight="1" thickBot="1" x14ac:dyDescent="0.25">
      <c r="B101" s="50">
        <v>22</v>
      </c>
      <c r="C101" s="51">
        <f t="shared" si="1"/>
        <v>45166</v>
      </c>
      <c r="D101" s="52"/>
      <c r="E101" s="52"/>
      <c r="F101" s="53"/>
      <c r="G101" s="53"/>
      <c r="H101" s="52"/>
      <c r="I101" s="52"/>
      <c r="J101" s="52"/>
      <c r="K101" s="53"/>
      <c r="L101" s="54"/>
      <c r="M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</row>
    <row r="102" spans="2:72" s="1" customFormat="1" ht="23.25" customHeight="1" x14ac:dyDescent="0.2">
      <c r="B102" s="50">
        <v>23</v>
      </c>
      <c r="C102" s="51">
        <f t="shared" si="1"/>
        <v>45173</v>
      </c>
      <c r="D102" s="52"/>
      <c r="E102" s="52"/>
      <c r="F102" s="53"/>
      <c r="G102" s="53"/>
      <c r="H102" s="52"/>
      <c r="I102" s="52"/>
      <c r="J102" s="52"/>
      <c r="K102" s="53"/>
      <c r="L102" s="54"/>
      <c r="M102" s="3"/>
      <c r="N102" s="241" t="s">
        <v>67</v>
      </c>
      <c r="O102" s="242"/>
      <c r="P102" s="24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</row>
    <row r="103" spans="2:72" s="1" customFormat="1" ht="23.25" customHeight="1" x14ac:dyDescent="0.2">
      <c r="B103" s="50">
        <v>24</v>
      </c>
      <c r="C103" s="51">
        <f t="shared" si="1"/>
        <v>45180</v>
      </c>
      <c r="D103" s="52"/>
      <c r="E103" s="52"/>
      <c r="F103" s="53"/>
      <c r="G103" s="53"/>
      <c r="H103" s="52"/>
      <c r="I103" s="52"/>
      <c r="J103" s="52"/>
      <c r="K103" s="53"/>
      <c r="L103" s="54"/>
      <c r="M103" s="3"/>
      <c r="N103" s="244" t="s">
        <v>63</v>
      </c>
      <c r="O103" s="245"/>
      <c r="P103" s="55">
        <f>SUM(D94:D106)</f>
        <v>0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</row>
    <row r="104" spans="2:72" s="1" customFormat="1" ht="23.25" customHeight="1" x14ac:dyDescent="0.2">
      <c r="B104" s="50">
        <v>25</v>
      </c>
      <c r="C104" s="51">
        <f t="shared" si="1"/>
        <v>45187</v>
      </c>
      <c r="D104" s="52"/>
      <c r="E104" s="52"/>
      <c r="F104" s="53"/>
      <c r="G104" s="53"/>
      <c r="H104" s="52"/>
      <c r="I104" s="52"/>
      <c r="J104" s="52"/>
      <c r="K104" s="53"/>
      <c r="L104" s="54"/>
      <c r="M104" s="3"/>
      <c r="N104" s="244" t="s">
        <v>64</v>
      </c>
      <c r="O104" s="245"/>
      <c r="P104" s="55">
        <f>SUM(G94:G106)</f>
        <v>0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</row>
    <row r="105" spans="2:72" s="1" customFormat="1" ht="23.25" customHeight="1" x14ac:dyDescent="0.2">
      <c r="B105" s="50">
        <v>26</v>
      </c>
      <c r="C105" s="51">
        <f t="shared" si="1"/>
        <v>45194</v>
      </c>
      <c r="D105" s="52"/>
      <c r="E105" s="52"/>
      <c r="F105" s="53"/>
      <c r="G105" s="53"/>
      <c r="H105" s="52"/>
      <c r="I105" s="52"/>
      <c r="J105" s="52"/>
      <c r="K105" s="53"/>
      <c r="L105" s="54"/>
      <c r="M105" s="3"/>
      <c r="N105" s="244" t="s">
        <v>65</v>
      </c>
      <c r="O105" s="245"/>
      <c r="P105" s="55">
        <f>SUM(J94:J106)</f>
        <v>0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</row>
    <row r="106" spans="2:72" s="1" customFormat="1" ht="23.25" customHeight="1" thickBot="1" x14ac:dyDescent="0.25">
      <c r="B106" s="56">
        <v>27</v>
      </c>
      <c r="C106" s="51">
        <f t="shared" si="1"/>
        <v>45201</v>
      </c>
      <c r="D106" s="57"/>
      <c r="E106" s="57"/>
      <c r="F106" s="58"/>
      <c r="G106" s="58"/>
      <c r="H106" s="57"/>
      <c r="I106" s="57"/>
      <c r="J106" s="57"/>
      <c r="K106" s="58"/>
      <c r="L106" s="59"/>
      <c r="M106" s="3"/>
      <c r="N106" s="246" t="s">
        <v>66</v>
      </c>
      <c r="O106" s="247"/>
      <c r="P106" s="60">
        <f>SUM(L94:L106)</f>
        <v>0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</row>
    <row r="107" spans="2:72" s="1" customFormat="1" ht="23.25" customHeight="1" x14ac:dyDescent="0.2">
      <c r="B107" s="45">
        <v>28</v>
      </c>
      <c r="C107" s="51">
        <f t="shared" si="1"/>
        <v>45208</v>
      </c>
      <c r="D107" s="47"/>
      <c r="E107" s="47"/>
      <c r="F107" s="48"/>
      <c r="G107" s="48"/>
      <c r="H107" s="47"/>
      <c r="I107" s="47"/>
      <c r="J107" s="47"/>
      <c r="K107" s="48"/>
      <c r="L107" s="49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</row>
    <row r="108" spans="2:72" s="1" customFormat="1" ht="23.25" customHeight="1" x14ac:dyDescent="0.2">
      <c r="B108" s="50">
        <v>29</v>
      </c>
      <c r="C108" s="51">
        <f t="shared" si="1"/>
        <v>45215</v>
      </c>
      <c r="D108" s="52"/>
      <c r="E108" s="52"/>
      <c r="F108" s="53"/>
      <c r="G108" s="53"/>
      <c r="H108" s="52"/>
      <c r="I108" s="52"/>
      <c r="J108" s="52"/>
      <c r="K108" s="53"/>
      <c r="L108" s="5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</row>
    <row r="109" spans="2:72" s="1" customFormat="1" ht="23.25" customHeight="1" x14ac:dyDescent="0.2">
      <c r="B109" s="50">
        <v>30</v>
      </c>
      <c r="C109" s="51">
        <f t="shared" si="1"/>
        <v>45222</v>
      </c>
      <c r="D109" s="52"/>
      <c r="E109" s="52"/>
      <c r="F109" s="53"/>
      <c r="G109" s="53"/>
      <c r="H109" s="52"/>
      <c r="I109" s="52"/>
      <c r="J109" s="52"/>
      <c r="K109" s="53"/>
      <c r="L109" s="5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</row>
    <row r="110" spans="2:72" s="1" customFormat="1" ht="23.25" customHeight="1" x14ac:dyDescent="0.2">
      <c r="B110" s="50">
        <v>31</v>
      </c>
      <c r="C110" s="51">
        <f t="shared" si="1"/>
        <v>45229</v>
      </c>
      <c r="D110" s="52"/>
      <c r="E110" s="52"/>
      <c r="F110" s="53"/>
      <c r="G110" s="53"/>
      <c r="H110" s="52"/>
      <c r="I110" s="52"/>
      <c r="J110" s="52"/>
      <c r="K110" s="53"/>
      <c r="L110" s="5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</row>
    <row r="111" spans="2:72" s="1" customFormat="1" ht="23.25" customHeight="1" x14ac:dyDescent="0.2">
      <c r="B111" s="50">
        <v>32</v>
      </c>
      <c r="C111" s="51">
        <f t="shared" si="1"/>
        <v>45236</v>
      </c>
      <c r="D111" s="52"/>
      <c r="E111" s="52"/>
      <c r="F111" s="53"/>
      <c r="G111" s="53"/>
      <c r="H111" s="52"/>
      <c r="I111" s="52"/>
      <c r="J111" s="52"/>
      <c r="K111" s="53"/>
      <c r="L111" s="5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</row>
    <row r="112" spans="2:72" s="1" customFormat="1" ht="23.25" customHeight="1" x14ac:dyDescent="0.2">
      <c r="B112" s="50">
        <v>33</v>
      </c>
      <c r="C112" s="51">
        <f t="shared" si="1"/>
        <v>45243</v>
      </c>
      <c r="D112" s="52"/>
      <c r="E112" s="52"/>
      <c r="F112" s="53"/>
      <c r="G112" s="53"/>
      <c r="H112" s="52"/>
      <c r="I112" s="52"/>
      <c r="J112" s="52"/>
      <c r="K112" s="53"/>
      <c r="L112" s="5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</row>
    <row r="113" spans="2:72" s="1" customFormat="1" ht="23.25" customHeight="1" x14ac:dyDescent="0.2">
      <c r="B113" s="50">
        <v>34</v>
      </c>
      <c r="C113" s="51">
        <f t="shared" si="1"/>
        <v>45250</v>
      </c>
      <c r="D113" s="52"/>
      <c r="E113" s="52"/>
      <c r="F113" s="53"/>
      <c r="G113" s="53"/>
      <c r="H113" s="52"/>
      <c r="I113" s="52"/>
      <c r="J113" s="52"/>
      <c r="K113" s="53"/>
      <c r="L113" s="5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</row>
    <row r="114" spans="2:72" s="1" customFormat="1" ht="23.25" customHeight="1" thickBot="1" x14ac:dyDescent="0.25">
      <c r="B114" s="50">
        <v>35</v>
      </c>
      <c r="C114" s="51">
        <f t="shared" si="1"/>
        <v>45257</v>
      </c>
      <c r="D114" s="52"/>
      <c r="E114" s="52"/>
      <c r="F114" s="53"/>
      <c r="G114" s="53"/>
      <c r="H114" s="52"/>
      <c r="I114" s="52"/>
      <c r="J114" s="52"/>
      <c r="K114" s="53"/>
      <c r="L114" s="5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</row>
    <row r="115" spans="2:72" s="1" customFormat="1" ht="23.25" customHeight="1" x14ac:dyDescent="0.2">
      <c r="B115" s="50">
        <v>36</v>
      </c>
      <c r="C115" s="51">
        <f t="shared" si="1"/>
        <v>45264</v>
      </c>
      <c r="D115" s="52"/>
      <c r="E115" s="52"/>
      <c r="F115" s="53"/>
      <c r="G115" s="53"/>
      <c r="H115" s="52"/>
      <c r="I115" s="52"/>
      <c r="J115" s="52"/>
      <c r="K115" s="53"/>
      <c r="L115" s="54"/>
      <c r="M115" s="3"/>
      <c r="N115" s="241" t="s">
        <v>68</v>
      </c>
      <c r="O115" s="242"/>
      <c r="P115" s="24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</row>
    <row r="116" spans="2:72" s="1" customFormat="1" ht="23.25" customHeight="1" x14ac:dyDescent="0.2">
      <c r="B116" s="50">
        <v>37</v>
      </c>
      <c r="C116" s="51">
        <f t="shared" si="1"/>
        <v>45271</v>
      </c>
      <c r="D116" s="52"/>
      <c r="E116" s="52"/>
      <c r="F116" s="53"/>
      <c r="G116" s="53"/>
      <c r="H116" s="52"/>
      <c r="I116" s="52"/>
      <c r="J116" s="52"/>
      <c r="K116" s="53"/>
      <c r="L116" s="54"/>
      <c r="M116" s="3"/>
      <c r="N116" s="244" t="s">
        <v>63</v>
      </c>
      <c r="O116" s="245"/>
      <c r="P116" s="55">
        <f>SUM(D107:D119)</f>
        <v>0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</row>
    <row r="117" spans="2:72" s="1" customFormat="1" ht="23.25" customHeight="1" x14ac:dyDescent="0.2">
      <c r="B117" s="50">
        <v>38</v>
      </c>
      <c r="C117" s="51">
        <f t="shared" si="1"/>
        <v>45278</v>
      </c>
      <c r="D117" s="52"/>
      <c r="E117" s="52"/>
      <c r="F117" s="53"/>
      <c r="G117" s="53"/>
      <c r="H117" s="52"/>
      <c r="I117" s="52"/>
      <c r="J117" s="52"/>
      <c r="K117" s="53"/>
      <c r="L117" s="54"/>
      <c r="M117" s="3"/>
      <c r="N117" s="251" t="s">
        <v>64</v>
      </c>
      <c r="O117" s="252"/>
      <c r="P117" s="55">
        <f>SUM(G107:G119)</f>
        <v>0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</row>
    <row r="118" spans="2:72" s="1" customFormat="1" ht="23.25" customHeight="1" x14ac:dyDescent="0.2">
      <c r="B118" s="50">
        <v>39</v>
      </c>
      <c r="C118" s="51">
        <f t="shared" si="1"/>
        <v>45285</v>
      </c>
      <c r="D118" s="52"/>
      <c r="E118" s="52"/>
      <c r="F118" s="53"/>
      <c r="G118" s="53"/>
      <c r="H118" s="52"/>
      <c r="I118" s="52"/>
      <c r="J118" s="52"/>
      <c r="K118" s="53"/>
      <c r="L118" s="54"/>
      <c r="M118" s="3"/>
      <c r="N118" s="251" t="s">
        <v>65</v>
      </c>
      <c r="O118" s="252"/>
      <c r="P118" s="55">
        <f>SUM(J107:J119)</f>
        <v>0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</row>
    <row r="119" spans="2:72" s="1" customFormat="1" ht="23.25" customHeight="1" thickBot="1" x14ac:dyDescent="0.25">
      <c r="B119" s="56">
        <v>40</v>
      </c>
      <c r="C119" s="51">
        <f t="shared" si="1"/>
        <v>45292</v>
      </c>
      <c r="D119" s="57"/>
      <c r="E119" s="57"/>
      <c r="F119" s="58"/>
      <c r="G119" s="58"/>
      <c r="H119" s="57"/>
      <c r="I119" s="57"/>
      <c r="J119" s="57"/>
      <c r="K119" s="58"/>
      <c r="L119" s="59"/>
      <c r="M119" s="3"/>
      <c r="N119" s="253" t="s">
        <v>66</v>
      </c>
      <c r="O119" s="254"/>
      <c r="P119" s="60">
        <f>SUM(L107:L119)</f>
        <v>0</v>
      </c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</row>
    <row r="120" spans="2:72" s="1" customFormat="1" ht="23.25" customHeight="1" x14ac:dyDescent="0.2">
      <c r="B120" s="61">
        <v>41</v>
      </c>
      <c r="C120" s="51">
        <f t="shared" si="1"/>
        <v>45299</v>
      </c>
      <c r="D120" s="62"/>
      <c r="E120" s="62"/>
      <c r="F120" s="63"/>
      <c r="G120" s="63"/>
      <c r="H120" s="62"/>
      <c r="I120" s="62"/>
      <c r="J120" s="62"/>
      <c r="K120" s="63"/>
      <c r="L120" s="6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</row>
    <row r="121" spans="2:72" s="1" customFormat="1" ht="23.25" customHeight="1" x14ac:dyDescent="0.2">
      <c r="B121" s="50">
        <v>42</v>
      </c>
      <c r="C121" s="51">
        <f t="shared" si="1"/>
        <v>45306</v>
      </c>
      <c r="D121" s="52"/>
      <c r="E121" s="52"/>
      <c r="F121" s="53"/>
      <c r="G121" s="53"/>
      <c r="H121" s="52"/>
      <c r="I121" s="52"/>
      <c r="J121" s="52"/>
      <c r="K121" s="53"/>
      <c r="L121" s="5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</row>
    <row r="122" spans="2:72" s="1" customFormat="1" ht="23.25" customHeight="1" x14ac:dyDescent="0.2">
      <c r="B122" s="50">
        <v>43</v>
      </c>
      <c r="C122" s="51">
        <f t="shared" si="1"/>
        <v>45313</v>
      </c>
      <c r="D122" s="52"/>
      <c r="E122" s="52"/>
      <c r="F122" s="53"/>
      <c r="G122" s="53"/>
      <c r="H122" s="52"/>
      <c r="I122" s="52"/>
      <c r="J122" s="52"/>
      <c r="K122" s="53"/>
      <c r="L122" s="5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</row>
    <row r="123" spans="2:72" s="1" customFormat="1" ht="23.25" customHeight="1" x14ac:dyDescent="0.2">
      <c r="B123" s="50">
        <v>44</v>
      </c>
      <c r="C123" s="51">
        <f t="shared" si="1"/>
        <v>45320</v>
      </c>
      <c r="D123" s="52"/>
      <c r="E123" s="52"/>
      <c r="F123" s="53"/>
      <c r="G123" s="53"/>
      <c r="H123" s="52"/>
      <c r="I123" s="52"/>
      <c r="J123" s="52"/>
      <c r="K123" s="53"/>
      <c r="L123" s="5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</row>
    <row r="124" spans="2:72" s="1" customFormat="1" ht="23.25" customHeight="1" x14ac:dyDescent="0.2">
      <c r="B124" s="50">
        <v>45</v>
      </c>
      <c r="C124" s="51">
        <f t="shared" si="1"/>
        <v>45327</v>
      </c>
      <c r="D124" s="52"/>
      <c r="E124" s="52"/>
      <c r="F124" s="53"/>
      <c r="G124" s="53"/>
      <c r="H124" s="52"/>
      <c r="I124" s="52"/>
      <c r="J124" s="52"/>
      <c r="K124" s="53"/>
      <c r="L124" s="5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</row>
    <row r="125" spans="2:72" s="1" customFormat="1" ht="23.25" customHeight="1" x14ac:dyDescent="0.2">
      <c r="B125" s="50">
        <v>46</v>
      </c>
      <c r="C125" s="51">
        <f t="shared" si="1"/>
        <v>45334</v>
      </c>
      <c r="D125" s="52"/>
      <c r="E125" s="52"/>
      <c r="F125" s="53"/>
      <c r="G125" s="53"/>
      <c r="H125" s="52"/>
      <c r="I125" s="52"/>
      <c r="J125" s="52"/>
      <c r="K125" s="53"/>
      <c r="L125" s="5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</row>
    <row r="126" spans="2:72" s="1" customFormat="1" ht="23.25" customHeight="1" x14ac:dyDescent="0.2">
      <c r="B126" s="50">
        <v>47</v>
      </c>
      <c r="C126" s="51">
        <f t="shared" si="1"/>
        <v>45341</v>
      </c>
      <c r="D126" s="52"/>
      <c r="E126" s="52"/>
      <c r="F126" s="53"/>
      <c r="G126" s="53"/>
      <c r="H126" s="52"/>
      <c r="I126" s="52"/>
      <c r="J126" s="52"/>
      <c r="K126" s="53"/>
      <c r="L126" s="5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</row>
    <row r="127" spans="2:72" s="1" customFormat="1" ht="23.25" customHeight="1" x14ac:dyDescent="0.2">
      <c r="B127" s="50">
        <v>48</v>
      </c>
      <c r="C127" s="51">
        <f t="shared" si="1"/>
        <v>45348</v>
      </c>
      <c r="D127" s="52"/>
      <c r="E127" s="52"/>
      <c r="F127" s="53"/>
      <c r="G127" s="53"/>
      <c r="H127" s="52"/>
      <c r="I127" s="52"/>
      <c r="J127" s="52"/>
      <c r="K127" s="53"/>
      <c r="L127" s="5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</row>
    <row r="128" spans="2:72" s="1" customFormat="1" ht="23.25" customHeight="1" thickBot="1" x14ac:dyDescent="0.25">
      <c r="B128" s="50">
        <v>49</v>
      </c>
      <c r="C128" s="51">
        <f t="shared" si="1"/>
        <v>45355</v>
      </c>
      <c r="D128" s="52"/>
      <c r="E128" s="52"/>
      <c r="F128" s="53"/>
      <c r="G128" s="53"/>
      <c r="H128" s="52"/>
      <c r="I128" s="52"/>
      <c r="J128" s="52"/>
      <c r="K128" s="53"/>
      <c r="L128" s="5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</row>
    <row r="129" spans="2:72" s="1" customFormat="1" ht="23.25" customHeight="1" x14ac:dyDescent="0.2">
      <c r="B129" s="50">
        <v>50</v>
      </c>
      <c r="C129" s="51">
        <f t="shared" si="1"/>
        <v>45362</v>
      </c>
      <c r="D129" s="52"/>
      <c r="E129" s="52"/>
      <c r="F129" s="53"/>
      <c r="G129" s="53"/>
      <c r="H129" s="52"/>
      <c r="I129" s="52"/>
      <c r="J129" s="52"/>
      <c r="K129" s="53"/>
      <c r="L129" s="54"/>
      <c r="M129" s="3"/>
      <c r="N129" s="241" t="s">
        <v>69</v>
      </c>
      <c r="O129" s="242"/>
      <c r="P129" s="24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</row>
    <row r="130" spans="2:72" s="1" customFormat="1" ht="23.25" customHeight="1" x14ac:dyDescent="0.2">
      <c r="B130" s="50">
        <v>51</v>
      </c>
      <c r="C130" s="51">
        <f t="shared" si="1"/>
        <v>45369</v>
      </c>
      <c r="D130" s="52"/>
      <c r="E130" s="52"/>
      <c r="F130" s="53"/>
      <c r="G130" s="53"/>
      <c r="H130" s="52"/>
      <c r="I130" s="52"/>
      <c r="J130" s="52"/>
      <c r="K130" s="53"/>
      <c r="L130" s="54"/>
      <c r="M130" s="3"/>
      <c r="N130" s="251" t="s">
        <v>70</v>
      </c>
      <c r="O130" s="252"/>
      <c r="P130" s="55">
        <f>SUM(D120:D132)</f>
        <v>0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</row>
    <row r="131" spans="2:72" s="1" customFormat="1" ht="23.25" customHeight="1" x14ac:dyDescent="0.2">
      <c r="B131" s="50">
        <v>52</v>
      </c>
      <c r="C131" s="51">
        <f t="shared" si="1"/>
        <v>45376</v>
      </c>
      <c r="D131" s="52"/>
      <c r="E131" s="52"/>
      <c r="F131" s="53"/>
      <c r="G131" s="53"/>
      <c r="H131" s="52"/>
      <c r="I131" s="52"/>
      <c r="J131" s="52"/>
      <c r="K131" s="53"/>
      <c r="L131" s="54"/>
      <c r="M131" s="3"/>
      <c r="N131" s="251" t="s">
        <v>64</v>
      </c>
      <c r="O131" s="252"/>
      <c r="P131" s="55">
        <f>SUM(G120:G132)</f>
        <v>0</v>
      </c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</row>
    <row r="132" spans="2:72" s="1" customFormat="1" ht="23.25" customHeight="1" x14ac:dyDescent="0.2">
      <c r="B132" s="50">
        <v>53</v>
      </c>
      <c r="C132" s="51"/>
      <c r="D132" s="52"/>
      <c r="E132" s="52"/>
      <c r="F132" s="53"/>
      <c r="G132" s="53"/>
      <c r="H132" s="52"/>
      <c r="I132" s="52"/>
      <c r="J132" s="52"/>
      <c r="K132" s="53"/>
      <c r="L132" s="54"/>
      <c r="M132" s="3"/>
      <c r="N132" s="251" t="s">
        <v>65</v>
      </c>
      <c r="O132" s="252"/>
      <c r="P132" s="55">
        <f>SUM(J120:J132)</f>
        <v>0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</row>
    <row r="133" spans="2:72" s="1" customFormat="1" ht="17" thickBot="1" x14ac:dyDescent="0.25">
      <c r="B133" s="65"/>
      <c r="C133" s="66" t="s">
        <v>71</v>
      </c>
      <c r="D133" s="67" t="s">
        <v>72</v>
      </c>
      <c r="E133" s="67" t="s">
        <v>72</v>
      </c>
      <c r="F133" s="67" t="s">
        <v>72</v>
      </c>
      <c r="G133" s="67" t="s">
        <v>72</v>
      </c>
      <c r="H133" s="67" t="s">
        <v>72</v>
      </c>
      <c r="I133" s="67" t="s">
        <v>72</v>
      </c>
      <c r="J133" s="67" t="s">
        <v>72</v>
      </c>
      <c r="K133" s="67" t="s">
        <v>72</v>
      </c>
      <c r="L133" s="68" t="s">
        <v>72</v>
      </c>
      <c r="M133" s="3"/>
      <c r="N133" s="253" t="s">
        <v>66</v>
      </c>
      <c r="O133" s="254"/>
      <c r="P133" s="60">
        <f>SUM(L120:L132)</f>
        <v>0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</row>
    <row r="134" spans="2:72" s="1" customFormat="1" ht="17" thickBot="1" x14ac:dyDescent="0.25">
      <c r="B134" s="42"/>
      <c r="C134" s="69"/>
      <c r="D134" s="70">
        <f t="shared" ref="D134:L134" si="2">SUM(D80:D132)</f>
        <v>0</v>
      </c>
      <c r="E134" s="70">
        <f t="shared" si="2"/>
        <v>0</v>
      </c>
      <c r="F134" s="70">
        <f t="shared" si="2"/>
        <v>0</v>
      </c>
      <c r="G134" s="70">
        <f t="shared" si="2"/>
        <v>0</v>
      </c>
      <c r="H134" s="70">
        <f t="shared" si="2"/>
        <v>0</v>
      </c>
      <c r="I134" s="70">
        <f t="shared" si="2"/>
        <v>0</v>
      </c>
      <c r="J134" s="70">
        <f t="shared" si="2"/>
        <v>0</v>
      </c>
      <c r="K134" s="70">
        <f t="shared" si="2"/>
        <v>0</v>
      </c>
      <c r="L134" s="71">
        <f t="shared" si="2"/>
        <v>0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</row>
    <row r="135" spans="2:72" s="1" customFormat="1" x14ac:dyDescent="0.2">
      <c r="C135" s="2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</row>
    <row r="136" spans="2:72" s="1" customFormat="1" x14ac:dyDescent="0.2">
      <c r="C136" s="2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</row>
    <row r="137" spans="2:72" s="1" customFormat="1" x14ac:dyDescent="0.2">
      <c r="C137" s="2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</row>
    <row r="138" spans="2:72" s="1" customFormat="1" x14ac:dyDescent="0.2">
      <c r="C138" s="2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</row>
    <row r="139" spans="2:72" s="1" customFormat="1" x14ac:dyDescent="0.2">
      <c r="C139" s="2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</row>
    <row r="140" spans="2:72" s="1" customFormat="1" x14ac:dyDescent="0.2">
      <c r="C140" s="2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</row>
    <row r="141" spans="2:72" s="1" customFormat="1" x14ac:dyDescent="0.2">
      <c r="C141" s="2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</row>
    <row r="142" spans="2:72" s="1" customFormat="1" x14ac:dyDescent="0.2">
      <c r="C142" s="2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</row>
    <row r="143" spans="2:72" s="1" customFormat="1" x14ac:dyDescent="0.2">
      <c r="C143" s="2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</row>
    <row r="144" spans="2:72" s="1" customFormat="1" x14ac:dyDescent="0.2">
      <c r="C144" s="2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</row>
    <row r="145" spans="2:72" s="1" customFormat="1" x14ac:dyDescent="0.2">
      <c r="C145" s="2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</row>
    <row r="146" spans="2:72" s="1" customFormat="1" x14ac:dyDescent="0.2">
      <c r="C146" s="2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</row>
    <row r="147" spans="2:72" s="1" customFormat="1" x14ac:dyDescent="0.2">
      <c r="C147" s="2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</row>
    <row r="148" spans="2:72" x14ac:dyDescent="0.2"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3"/>
    </row>
    <row r="149" spans="2:72" s="3" customFormat="1" x14ac:dyDescent="0.2"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2:72" s="3" customFormat="1" x14ac:dyDescent="0.2"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2:72" s="3" customFormat="1" x14ac:dyDescent="0.2"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2:72" s="3" customFormat="1" x14ac:dyDescent="0.2"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2:72" s="3" customFormat="1" x14ac:dyDescent="0.2"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2:72" s="3" customFormat="1" x14ac:dyDescent="0.2"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2:72" s="3" customFormat="1" x14ac:dyDescent="0.2"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2:72" s="3" customFormat="1" x14ac:dyDescent="0.2"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2:72" s="3" customFormat="1" x14ac:dyDescent="0.2"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2:72" s="3" customFormat="1" x14ac:dyDescent="0.2"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74"/>
    </row>
    <row r="159" spans="2:72" s="3" customFormat="1" x14ac:dyDescent="0.2"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74"/>
    </row>
    <row r="160" spans="2:72" s="3" customFormat="1" x14ac:dyDescent="0.2"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74"/>
    </row>
    <row r="161" spans="2:16" s="3" customFormat="1" x14ac:dyDescent="0.2"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74"/>
    </row>
    <row r="162" spans="2:16" s="3" customFormat="1" x14ac:dyDescent="0.2"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74"/>
    </row>
    <row r="163" spans="2:16" s="3" customFormat="1" x14ac:dyDescent="0.2"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74"/>
    </row>
    <row r="164" spans="2:16" s="3" customFormat="1" x14ac:dyDescent="0.2">
      <c r="B164"/>
      <c r="C164" s="72"/>
      <c r="D164"/>
      <c r="E164"/>
      <c r="F164"/>
      <c r="G164"/>
      <c r="H164"/>
      <c r="I164"/>
      <c r="J164"/>
      <c r="K164"/>
      <c r="L164"/>
      <c r="M164"/>
      <c r="N164"/>
      <c r="O164"/>
      <c r="P164" s="74"/>
    </row>
    <row r="165" spans="2:16" s="3" customFormat="1" x14ac:dyDescent="0.2">
      <c r="C165" s="73"/>
      <c r="P165" s="74"/>
    </row>
    <row r="166" spans="2:16" s="3" customFormat="1" x14ac:dyDescent="0.2">
      <c r="C166" s="73"/>
      <c r="P166" s="74"/>
    </row>
    <row r="167" spans="2:16" s="3" customFormat="1" x14ac:dyDescent="0.2">
      <c r="C167" s="73"/>
      <c r="P167" s="74"/>
    </row>
    <row r="168" spans="2:16" s="3" customFormat="1" x14ac:dyDescent="0.2">
      <c r="C168" s="73"/>
      <c r="P168" s="74"/>
    </row>
    <row r="169" spans="2:16" s="3" customFormat="1" x14ac:dyDescent="0.2">
      <c r="C169" s="73"/>
      <c r="P169" s="74"/>
    </row>
    <row r="170" spans="2:16" s="3" customFormat="1" x14ac:dyDescent="0.2">
      <c r="C170" s="73"/>
      <c r="P170" s="74"/>
    </row>
    <row r="171" spans="2:16" s="3" customFormat="1" x14ac:dyDescent="0.2">
      <c r="C171" s="73"/>
      <c r="P171" s="74"/>
    </row>
    <row r="172" spans="2:16" s="3" customFormat="1" x14ac:dyDescent="0.2">
      <c r="C172" s="73"/>
      <c r="P172" s="74"/>
    </row>
    <row r="173" spans="2:16" s="3" customFormat="1" x14ac:dyDescent="0.2">
      <c r="C173" s="73"/>
      <c r="P173" s="74"/>
    </row>
    <row r="174" spans="2:16" s="3" customFormat="1" x14ac:dyDescent="0.2">
      <c r="C174" s="73"/>
      <c r="P174" s="74"/>
    </row>
    <row r="175" spans="2:16" s="3" customFormat="1" x14ac:dyDescent="0.2">
      <c r="C175" s="73"/>
      <c r="P175" s="74"/>
    </row>
    <row r="176" spans="2:16" s="3" customFormat="1" x14ac:dyDescent="0.2">
      <c r="C176" s="73"/>
      <c r="P176" s="74"/>
    </row>
    <row r="177" spans="3:16" s="3" customFormat="1" x14ac:dyDescent="0.2">
      <c r="C177" s="73"/>
      <c r="P177" s="74"/>
    </row>
    <row r="178" spans="3:16" s="3" customFormat="1" x14ac:dyDescent="0.2">
      <c r="C178" s="73"/>
      <c r="P178" s="74"/>
    </row>
    <row r="179" spans="3:16" s="3" customFormat="1" x14ac:dyDescent="0.2">
      <c r="C179" s="73"/>
      <c r="P179" s="74"/>
    </row>
    <row r="180" spans="3:16" s="3" customFormat="1" x14ac:dyDescent="0.2">
      <c r="C180" s="73"/>
      <c r="P180" s="74"/>
    </row>
    <row r="181" spans="3:16" s="3" customFormat="1" x14ac:dyDescent="0.2">
      <c r="C181" s="73"/>
      <c r="P181" s="74"/>
    </row>
    <row r="182" spans="3:16" s="3" customFormat="1" x14ac:dyDescent="0.2">
      <c r="C182" s="73"/>
      <c r="P182" s="74"/>
    </row>
    <row r="183" spans="3:16" s="3" customFormat="1" x14ac:dyDescent="0.2">
      <c r="C183" s="73"/>
      <c r="P183" s="74"/>
    </row>
    <row r="184" spans="3:16" s="3" customFormat="1" x14ac:dyDescent="0.2">
      <c r="C184" s="73"/>
      <c r="P184" s="74"/>
    </row>
    <row r="185" spans="3:16" s="3" customFormat="1" x14ac:dyDescent="0.2">
      <c r="C185" s="73"/>
      <c r="P185" s="74"/>
    </row>
    <row r="186" spans="3:16" s="3" customFormat="1" x14ac:dyDescent="0.2">
      <c r="C186" s="73"/>
      <c r="P186" s="74"/>
    </row>
    <row r="187" spans="3:16" s="3" customFormat="1" x14ac:dyDescent="0.2">
      <c r="C187" s="73"/>
      <c r="P187" s="74"/>
    </row>
    <row r="188" spans="3:16" s="3" customFormat="1" x14ac:dyDescent="0.2">
      <c r="C188" s="73"/>
      <c r="P188" s="74"/>
    </row>
    <row r="189" spans="3:16" s="3" customFormat="1" x14ac:dyDescent="0.2">
      <c r="C189" s="73"/>
      <c r="P189" s="74"/>
    </row>
    <row r="190" spans="3:16" s="3" customFormat="1" x14ac:dyDescent="0.2">
      <c r="C190" s="73"/>
      <c r="P190" s="74"/>
    </row>
    <row r="191" spans="3:16" s="3" customFormat="1" x14ac:dyDescent="0.2">
      <c r="C191" s="73"/>
      <c r="P191" s="74"/>
    </row>
    <row r="192" spans="3:16" s="3" customFormat="1" x14ac:dyDescent="0.2">
      <c r="C192" s="73"/>
      <c r="P192" s="74"/>
    </row>
    <row r="193" spans="3:16" s="3" customFormat="1" x14ac:dyDescent="0.2">
      <c r="C193" s="73"/>
      <c r="P193" s="74"/>
    </row>
    <row r="194" spans="3:16" s="3" customFormat="1" x14ac:dyDescent="0.2">
      <c r="C194" s="73"/>
      <c r="P194" s="74"/>
    </row>
    <row r="195" spans="3:16" s="3" customFormat="1" x14ac:dyDescent="0.2">
      <c r="C195" s="73"/>
      <c r="P195" s="74"/>
    </row>
    <row r="196" spans="3:16" s="3" customFormat="1" x14ac:dyDescent="0.2">
      <c r="C196" s="73"/>
      <c r="P196" s="74"/>
    </row>
    <row r="197" spans="3:16" s="3" customFormat="1" x14ac:dyDescent="0.2">
      <c r="C197" s="73"/>
      <c r="P197" s="74"/>
    </row>
    <row r="198" spans="3:16" s="3" customFormat="1" x14ac:dyDescent="0.2">
      <c r="C198" s="73"/>
      <c r="P198" s="74"/>
    </row>
    <row r="199" spans="3:16" s="3" customFormat="1" x14ac:dyDescent="0.2">
      <c r="C199" s="73"/>
      <c r="P199" s="74"/>
    </row>
    <row r="200" spans="3:16" s="3" customFormat="1" x14ac:dyDescent="0.2">
      <c r="C200" s="73"/>
      <c r="P200" s="74"/>
    </row>
    <row r="201" spans="3:16" s="3" customFormat="1" x14ac:dyDescent="0.2">
      <c r="C201" s="73"/>
      <c r="P201" s="74"/>
    </row>
    <row r="202" spans="3:16" s="3" customFormat="1" x14ac:dyDescent="0.2">
      <c r="C202" s="73"/>
      <c r="P202" s="74"/>
    </row>
    <row r="203" spans="3:16" s="3" customFormat="1" x14ac:dyDescent="0.2">
      <c r="C203" s="73"/>
      <c r="P203" s="74"/>
    </row>
    <row r="204" spans="3:16" s="3" customFormat="1" x14ac:dyDescent="0.2">
      <c r="C204" s="73"/>
      <c r="P204" s="74"/>
    </row>
    <row r="205" spans="3:16" s="3" customFormat="1" x14ac:dyDescent="0.2">
      <c r="C205" s="73"/>
      <c r="P205" s="74"/>
    </row>
    <row r="206" spans="3:16" s="3" customFormat="1" x14ac:dyDescent="0.2">
      <c r="C206" s="73"/>
      <c r="P206" s="74"/>
    </row>
    <row r="207" spans="3:16" s="3" customFormat="1" x14ac:dyDescent="0.2">
      <c r="C207" s="73"/>
      <c r="P207" s="74"/>
    </row>
    <row r="208" spans="3:16" s="3" customFormat="1" x14ac:dyDescent="0.2">
      <c r="C208" s="73"/>
      <c r="P208" s="74"/>
    </row>
  </sheetData>
  <mergeCells count="280">
    <mergeCell ref="R41:T41"/>
    <mergeCell ref="R42:T42"/>
    <mergeCell ref="R43:T43"/>
    <mergeCell ref="R44:T44"/>
    <mergeCell ref="R67:T67"/>
    <mergeCell ref="R72:T72"/>
    <mergeCell ref="K67:M67"/>
    <mergeCell ref="K72:M72"/>
    <mergeCell ref="P4:Q4"/>
    <mergeCell ref="P10:Q10"/>
    <mergeCell ref="S10:T10"/>
    <mergeCell ref="B5:E6"/>
    <mergeCell ref="F5:G6"/>
    <mergeCell ref="H5:K6"/>
    <mergeCell ref="L5:M6"/>
    <mergeCell ref="P6:Q6"/>
    <mergeCell ref="B2:C2"/>
    <mergeCell ref="D2:E2"/>
    <mergeCell ref="F2:G2"/>
    <mergeCell ref="H2:M2"/>
    <mergeCell ref="P2:Q2"/>
    <mergeCell ref="B3:E4"/>
    <mergeCell ref="F3:G4"/>
    <mergeCell ref="H3:K4"/>
    <mergeCell ref="L3:M4"/>
    <mergeCell ref="P3:Q3"/>
    <mergeCell ref="B11:C11"/>
    <mergeCell ref="D11:K11"/>
    <mergeCell ref="P11:Q11"/>
    <mergeCell ref="S11:T11"/>
    <mergeCell ref="B8:C8"/>
    <mergeCell ref="D8:M8"/>
    <mergeCell ref="P8:Q8"/>
    <mergeCell ref="S8:T8"/>
    <mergeCell ref="B9:C10"/>
    <mergeCell ref="D9:K10"/>
    <mergeCell ref="L9:L10"/>
    <mergeCell ref="M9:M10"/>
    <mergeCell ref="P9:Q9"/>
    <mergeCell ref="S9:T9"/>
    <mergeCell ref="B14:C14"/>
    <mergeCell ref="D14:K14"/>
    <mergeCell ref="P14:Q14"/>
    <mergeCell ref="S14:T14"/>
    <mergeCell ref="B15:C15"/>
    <mergeCell ref="D15:K15"/>
    <mergeCell ref="P15:Q15"/>
    <mergeCell ref="S15:T15"/>
    <mergeCell ref="B12:C12"/>
    <mergeCell ref="D12:K12"/>
    <mergeCell ref="P12:Q12"/>
    <mergeCell ref="S12:T12"/>
    <mergeCell ref="B13:C13"/>
    <mergeCell ref="D13:K13"/>
    <mergeCell ref="P13:Q13"/>
    <mergeCell ref="S13:T13"/>
    <mergeCell ref="B18:C18"/>
    <mergeCell ref="D18:K18"/>
    <mergeCell ref="P18:Q18"/>
    <mergeCell ref="S18:T18"/>
    <mergeCell ref="B19:C19"/>
    <mergeCell ref="D19:K19"/>
    <mergeCell ref="P19:Q19"/>
    <mergeCell ref="S19:T19"/>
    <mergeCell ref="B16:C16"/>
    <mergeCell ref="D16:K16"/>
    <mergeCell ref="P16:Q16"/>
    <mergeCell ref="S16:T16"/>
    <mergeCell ref="B17:C17"/>
    <mergeCell ref="D17:K17"/>
    <mergeCell ref="P17:Q17"/>
    <mergeCell ref="S17:T17"/>
    <mergeCell ref="B23:C23"/>
    <mergeCell ref="D23:K23"/>
    <mergeCell ref="P23:Q23"/>
    <mergeCell ref="S23:T23"/>
    <mergeCell ref="B25:C25"/>
    <mergeCell ref="D25:T25"/>
    <mergeCell ref="B20:C20"/>
    <mergeCell ref="D20:K20"/>
    <mergeCell ref="B21:C21"/>
    <mergeCell ref="D21:K21"/>
    <mergeCell ref="B22:C22"/>
    <mergeCell ref="D22:K22"/>
    <mergeCell ref="C28:E28"/>
    <mergeCell ref="H28:J28"/>
    <mergeCell ref="K28:M28"/>
    <mergeCell ref="R28:T28"/>
    <mergeCell ref="C29:E29"/>
    <mergeCell ref="H29:J29"/>
    <mergeCell ref="K29:M29"/>
    <mergeCell ref="R29:T29"/>
    <mergeCell ref="C26:E26"/>
    <mergeCell ref="H26:J26"/>
    <mergeCell ref="K26:M26"/>
    <mergeCell ref="R26:T26"/>
    <mergeCell ref="C27:E27"/>
    <mergeCell ref="H27:J27"/>
    <mergeCell ref="K27:M27"/>
    <mergeCell ref="R27:T27"/>
    <mergeCell ref="C32:E32"/>
    <mergeCell ref="H32:J32"/>
    <mergeCell ref="K32:M32"/>
    <mergeCell ref="R32:T32"/>
    <mergeCell ref="C33:E33"/>
    <mergeCell ref="H33:J33"/>
    <mergeCell ref="K33:M33"/>
    <mergeCell ref="R33:T33"/>
    <mergeCell ref="C30:E30"/>
    <mergeCell ref="H30:J30"/>
    <mergeCell ref="K30:M30"/>
    <mergeCell ref="R30:T30"/>
    <mergeCell ref="C31:E31"/>
    <mergeCell ref="H31:J31"/>
    <mergeCell ref="K31:M31"/>
    <mergeCell ref="R31:T31"/>
    <mergeCell ref="C36:E36"/>
    <mergeCell ref="H36:J36"/>
    <mergeCell ref="K36:M36"/>
    <mergeCell ref="R36:T36"/>
    <mergeCell ref="C37:E37"/>
    <mergeCell ref="H37:J37"/>
    <mergeCell ref="K37:M37"/>
    <mergeCell ref="R37:T37"/>
    <mergeCell ref="C34:E34"/>
    <mergeCell ref="H34:J34"/>
    <mergeCell ref="K34:M34"/>
    <mergeCell ref="R34:T34"/>
    <mergeCell ref="C35:E35"/>
    <mergeCell ref="H35:J35"/>
    <mergeCell ref="K35:M35"/>
    <mergeCell ref="R35:T35"/>
    <mergeCell ref="C40:E40"/>
    <mergeCell ref="H40:J40"/>
    <mergeCell ref="K40:M40"/>
    <mergeCell ref="R40:T40"/>
    <mergeCell ref="C45:E45"/>
    <mergeCell ref="H45:J45"/>
    <mergeCell ref="K45:M45"/>
    <mergeCell ref="R45:T45"/>
    <mergeCell ref="C38:E38"/>
    <mergeCell ref="H38:J38"/>
    <mergeCell ref="K38:M38"/>
    <mergeCell ref="R38:T38"/>
    <mergeCell ref="C39:E39"/>
    <mergeCell ref="H39:J39"/>
    <mergeCell ref="K39:M39"/>
    <mergeCell ref="R39:T39"/>
    <mergeCell ref="C41:E41"/>
    <mergeCell ref="C42:E42"/>
    <mergeCell ref="C43:E43"/>
    <mergeCell ref="C44:E44"/>
    <mergeCell ref="K41:M41"/>
    <mergeCell ref="K42:M42"/>
    <mergeCell ref="K43:M43"/>
    <mergeCell ref="K44:M44"/>
    <mergeCell ref="C48:E48"/>
    <mergeCell ref="H48:J48"/>
    <mergeCell ref="K48:M48"/>
    <mergeCell ref="R48:T48"/>
    <mergeCell ref="C49:E49"/>
    <mergeCell ref="H49:J49"/>
    <mergeCell ref="K49:M49"/>
    <mergeCell ref="R49:T49"/>
    <mergeCell ref="C46:E46"/>
    <mergeCell ref="H46:J46"/>
    <mergeCell ref="K46:M46"/>
    <mergeCell ref="R46:T46"/>
    <mergeCell ref="C47:E47"/>
    <mergeCell ref="H47:J47"/>
    <mergeCell ref="K47:M47"/>
    <mergeCell ref="R47:T47"/>
    <mergeCell ref="C52:E52"/>
    <mergeCell ref="H52:J52"/>
    <mergeCell ref="K52:M52"/>
    <mergeCell ref="R52:T52"/>
    <mergeCell ref="C53:E53"/>
    <mergeCell ref="H53:J53"/>
    <mergeCell ref="K53:M53"/>
    <mergeCell ref="R53:T53"/>
    <mergeCell ref="C50:E50"/>
    <mergeCell ref="H50:J50"/>
    <mergeCell ref="K50:M50"/>
    <mergeCell ref="R50:T50"/>
    <mergeCell ref="C51:E51"/>
    <mergeCell ref="H51:J51"/>
    <mergeCell ref="K51:M51"/>
    <mergeCell ref="R51:T51"/>
    <mergeCell ref="C56:E56"/>
    <mergeCell ref="H56:J56"/>
    <mergeCell ref="K56:M56"/>
    <mergeCell ref="R56:T56"/>
    <mergeCell ref="C57:E57"/>
    <mergeCell ref="H57:J57"/>
    <mergeCell ref="K57:M57"/>
    <mergeCell ref="R57:T57"/>
    <mergeCell ref="C54:E54"/>
    <mergeCell ref="H54:J54"/>
    <mergeCell ref="K54:M54"/>
    <mergeCell ref="R54:T54"/>
    <mergeCell ref="C55:E55"/>
    <mergeCell ref="H55:J55"/>
    <mergeCell ref="K55:M55"/>
    <mergeCell ref="R55:T55"/>
    <mergeCell ref="C60:E60"/>
    <mergeCell ref="H60:J60"/>
    <mergeCell ref="K60:M60"/>
    <mergeCell ref="R60:T60"/>
    <mergeCell ref="C61:E61"/>
    <mergeCell ref="H61:J61"/>
    <mergeCell ref="K61:M61"/>
    <mergeCell ref="R61:T61"/>
    <mergeCell ref="C58:E58"/>
    <mergeCell ref="H58:J58"/>
    <mergeCell ref="K58:M58"/>
    <mergeCell ref="R58:T58"/>
    <mergeCell ref="C59:E59"/>
    <mergeCell ref="H59:J59"/>
    <mergeCell ref="K59:M59"/>
    <mergeCell ref="R59:T59"/>
    <mergeCell ref="H64:J64"/>
    <mergeCell ref="K64:M64"/>
    <mergeCell ref="R64:T64"/>
    <mergeCell ref="H65:J65"/>
    <mergeCell ref="K65:M65"/>
    <mergeCell ref="R65:T65"/>
    <mergeCell ref="C62:E62"/>
    <mergeCell ref="H62:J62"/>
    <mergeCell ref="K62:M62"/>
    <mergeCell ref="R62:T62"/>
    <mergeCell ref="H63:J63"/>
    <mergeCell ref="K63:M63"/>
    <mergeCell ref="R63:T63"/>
    <mergeCell ref="C63:E63"/>
    <mergeCell ref="C68:E68"/>
    <mergeCell ref="H68:J68"/>
    <mergeCell ref="K68:M68"/>
    <mergeCell ref="R68:T68"/>
    <mergeCell ref="C69:E69"/>
    <mergeCell ref="H69:J69"/>
    <mergeCell ref="K69:M69"/>
    <mergeCell ref="R69:T69"/>
    <mergeCell ref="H66:J66"/>
    <mergeCell ref="K66:M66"/>
    <mergeCell ref="R66:T66"/>
    <mergeCell ref="C67:E67"/>
    <mergeCell ref="H67:J67"/>
    <mergeCell ref="C72:E72"/>
    <mergeCell ref="H72:J72"/>
    <mergeCell ref="J73:L73"/>
    <mergeCell ref="Q73:S73"/>
    <mergeCell ref="C77:E77"/>
    <mergeCell ref="N89:P89"/>
    <mergeCell ref="C70:E70"/>
    <mergeCell ref="H70:J70"/>
    <mergeCell ref="K70:M70"/>
    <mergeCell ref="R70:T70"/>
    <mergeCell ref="C71:E71"/>
    <mergeCell ref="H71:J71"/>
    <mergeCell ref="K71:M71"/>
    <mergeCell ref="R71:T71"/>
    <mergeCell ref="N90:O90"/>
    <mergeCell ref="N91:O91"/>
    <mergeCell ref="N92:O92"/>
    <mergeCell ref="N93:O93"/>
    <mergeCell ref="N102:P102"/>
    <mergeCell ref="N103:O103"/>
    <mergeCell ref="N133:O133"/>
    <mergeCell ref="N118:O118"/>
    <mergeCell ref="N119:O119"/>
    <mergeCell ref="N129:P129"/>
    <mergeCell ref="N130:O130"/>
    <mergeCell ref="N131:O131"/>
    <mergeCell ref="N132:O132"/>
    <mergeCell ref="N104:O104"/>
    <mergeCell ref="N105:O105"/>
    <mergeCell ref="N106:O106"/>
    <mergeCell ref="N115:P115"/>
    <mergeCell ref="N116:O116"/>
    <mergeCell ref="N117:O117"/>
  </mergeCells>
  <conditionalFormatting sqref="L5:M6">
    <cfRule type="cellIs" dxfId="6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0D44-77E1-7142-B8CC-37040892488C}">
  <dimension ref="A1:BU208"/>
  <sheetViews>
    <sheetView zoomScaleNormal="100" workbookViewId="0">
      <selection activeCell="D19" sqref="D19:K19"/>
    </sheetView>
  </sheetViews>
  <sheetFormatPr baseColWidth="10" defaultColWidth="8.6640625" defaultRowHeight="15" x14ac:dyDescent="0.2"/>
  <cols>
    <col min="1" max="1" width="4.5" style="1" customWidth="1"/>
    <col min="2" max="2" width="15.6640625" bestFit="1" customWidth="1"/>
    <col min="3" max="3" width="33" style="72" bestFit="1" customWidth="1"/>
    <col min="4" max="4" width="12.1640625" customWidth="1"/>
    <col min="5" max="5" width="28" customWidth="1"/>
    <col min="6" max="6" width="12.5" bestFit="1" customWidth="1"/>
    <col min="7" max="7" width="10.6640625" bestFit="1" customWidth="1"/>
    <col min="8" max="8" width="18.5" customWidth="1"/>
    <col min="9" max="9" width="59.5" customWidth="1"/>
    <col min="10" max="10" width="13.6640625" customWidth="1"/>
    <col min="11" max="11" width="14" customWidth="1"/>
    <col min="12" max="12" width="14.6640625" customWidth="1"/>
    <col min="13" max="13" width="13.6640625" customWidth="1"/>
    <col min="14" max="14" width="11" customWidth="1"/>
    <col min="15" max="15" width="13.5" bestFit="1" customWidth="1"/>
    <col min="16" max="16" width="11" style="74" customWidth="1"/>
    <col min="17" max="17" width="20.5" style="3" customWidth="1"/>
    <col min="18" max="18" width="5.5" style="3" customWidth="1"/>
    <col min="19" max="19" width="19.5" style="3" customWidth="1"/>
    <col min="20" max="22" width="27.5" style="3" customWidth="1"/>
    <col min="23" max="23" width="40.5" style="3" bestFit="1" customWidth="1"/>
    <col min="24" max="24" width="29" style="3" customWidth="1"/>
    <col min="25" max="72" width="8.6640625" style="3"/>
  </cols>
  <sheetData>
    <row r="1" spans="2:72" s="1" customFormat="1" ht="15" customHeight="1" thickBot="1" x14ac:dyDescent="0.25">
      <c r="C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2:72" ht="46.5" customHeight="1" x14ac:dyDescent="0.2">
      <c r="B2" s="155" t="s">
        <v>0</v>
      </c>
      <c r="C2" s="155"/>
      <c r="D2" s="156" t="s">
        <v>1</v>
      </c>
      <c r="E2" s="156"/>
      <c r="F2" s="157"/>
      <c r="G2" s="157"/>
      <c r="H2" s="156" t="s">
        <v>2</v>
      </c>
      <c r="I2" s="156"/>
      <c r="J2" s="156"/>
      <c r="K2" s="156"/>
      <c r="L2" s="156"/>
      <c r="M2" s="156"/>
      <c r="N2" s="3"/>
      <c r="O2" s="4" t="s">
        <v>3</v>
      </c>
      <c r="P2" s="158" t="s">
        <v>4</v>
      </c>
      <c r="Q2" s="158"/>
    </row>
    <row r="3" spans="2:72" ht="24.75" customHeight="1" x14ac:dyDescent="0.2">
      <c r="B3" s="149" t="s">
        <v>73</v>
      </c>
      <c r="C3" s="149"/>
      <c r="D3" s="149"/>
      <c r="E3" s="149"/>
      <c r="F3" s="159">
        <v>2300000</v>
      </c>
      <c r="G3" s="159"/>
      <c r="H3" s="152" t="s">
        <v>6</v>
      </c>
      <c r="I3" s="152"/>
      <c r="J3" s="152"/>
      <c r="K3" s="152"/>
      <c r="L3" s="159">
        <v>4000000</v>
      </c>
      <c r="M3" s="159"/>
      <c r="N3" s="5"/>
      <c r="O3" s="6" t="s">
        <v>7</v>
      </c>
      <c r="P3" s="148"/>
      <c r="Q3" s="148"/>
    </row>
    <row r="4" spans="2:72" ht="21" customHeight="1" x14ac:dyDescent="0.2">
      <c r="B4" s="149"/>
      <c r="C4" s="149"/>
      <c r="D4" s="149"/>
      <c r="E4" s="149"/>
      <c r="F4" s="159"/>
      <c r="G4" s="159"/>
      <c r="H4" s="152"/>
      <c r="I4" s="152"/>
      <c r="J4" s="152"/>
      <c r="K4" s="152"/>
      <c r="L4" s="159"/>
      <c r="M4" s="159"/>
      <c r="N4" s="3"/>
      <c r="O4" s="6" t="s">
        <v>8</v>
      </c>
      <c r="P4" s="148"/>
      <c r="Q4" s="148"/>
    </row>
    <row r="5" spans="2:72" ht="21" customHeight="1" x14ac:dyDescent="0.2">
      <c r="B5" s="149" t="s">
        <v>74</v>
      </c>
      <c r="C5" s="149"/>
      <c r="D5" s="149"/>
      <c r="E5" s="149"/>
      <c r="F5" s="150">
        <f>SUM(T27:T73)</f>
        <v>0</v>
      </c>
      <c r="G5" s="150"/>
      <c r="H5" s="151" t="s">
        <v>10</v>
      </c>
      <c r="I5" s="152"/>
      <c r="J5" s="152"/>
      <c r="K5" s="152"/>
      <c r="L5" s="153">
        <f>SUM(L3-F3)</f>
        <v>1700000</v>
      </c>
      <c r="M5" s="153"/>
      <c r="N5" s="3"/>
      <c r="O5" s="7" t="s">
        <v>11</v>
      </c>
      <c r="P5" s="8"/>
      <c r="Q5" s="9"/>
    </row>
    <row r="6" spans="2:72" ht="21" customHeight="1" thickBot="1" x14ac:dyDescent="0.25">
      <c r="B6" s="149"/>
      <c r="C6" s="149"/>
      <c r="D6" s="149"/>
      <c r="E6" s="149"/>
      <c r="F6" s="150"/>
      <c r="G6" s="150"/>
      <c r="H6" s="152"/>
      <c r="I6" s="152"/>
      <c r="J6" s="152"/>
      <c r="K6" s="152"/>
      <c r="L6" s="153"/>
      <c r="M6" s="153"/>
      <c r="N6" s="3"/>
      <c r="O6" s="10" t="s">
        <v>12</v>
      </c>
      <c r="P6" s="154"/>
      <c r="Q6" s="154"/>
    </row>
    <row r="7" spans="2:72" s="1" customFormat="1" ht="9" customHeight="1" thickBot="1" x14ac:dyDescent="0.25">
      <c r="C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2:72" s="1" customFormat="1" ht="46.5" customHeight="1" x14ac:dyDescent="0.2">
      <c r="B8" s="155" t="s">
        <v>13</v>
      </c>
      <c r="C8" s="155"/>
      <c r="D8" s="156" t="s">
        <v>14</v>
      </c>
      <c r="E8" s="156"/>
      <c r="F8" s="156"/>
      <c r="G8" s="156"/>
      <c r="H8" s="156"/>
      <c r="I8" s="156"/>
      <c r="J8" s="156"/>
      <c r="K8" s="156"/>
      <c r="L8" s="156"/>
      <c r="M8" s="156"/>
      <c r="N8" s="3"/>
      <c r="O8" s="4" t="s">
        <v>15</v>
      </c>
      <c r="P8" s="158" t="s">
        <v>16</v>
      </c>
      <c r="Q8" s="158"/>
      <c r="R8" s="3"/>
      <c r="S8" s="164" t="s">
        <v>17</v>
      </c>
      <c r="T8" s="164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</row>
    <row r="9" spans="2:72" s="1" customFormat="1" ht="17.25" customHeight="1" x14ac:dyDescent="0.2">
      <c r="B9" s="165" t="s">
        <v>18</v>
      </c>
      <c r="C9" s="165"/>
      <c r="D9" s="166" t="s">
        <v>19</v>
      </c>
      <c r="E9" s="166"/>
      <c r="F9" s="166"/>
      <c r="G9" s="166"/>
      <c r="H9" s="166"/>
      <c r="I9" s="166"/>
      <c r="J9" s="166"/>
      <c r="K9" s="166"/>
      <c r="L9" s="167" t="s">
        <v>20</v>
      </c>
      <c r="M9" s="168" t="s">
        <v>21</v>
      </c>
      <c r="N9" s="3"/>
      <c r="O9" s="6" t="s">
        <v>22</v>
      </c>
      <c r="P9" s="148"/>
      <c r="Q9" s="148"/>
      <c r="R9" s="3"/>
      <c r="S9" s="160">
        <v>1</v>
      </c>
      <c r="T9" s="160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</row>
    <row r="10" spans="2:72" s="1" customFormat="1" ht="17.25" customHeight="1" x14ac:dyDescent="0.2">
      <c r="B10" s="165"/>
      <c r="C10" s="165"/>
      <c r="D10" s="166"/>
      <c r="E10" s="166"/>
      <c r="F10" s="166"/>
      <c r="G10" s="166"/>
      <c r="H10" s="166"/>
      <c r="I10" s="166"/>
      <c r="J10" s="166"/>
      <c r="K10" s="166"/>
      <c r="L10" s="167"/>
      <c r="M10" s="168"/>
      <c r="N10" s="3"/>
      <c r="O10" s="6" t="s">
        <v>23</v>
      </c>
      <c r="P10" s="148"/>
      <c r="Q10" s="148"/>
      <c r="R10" s="3"/>
      <c r="S10" s="160">
        <v>2</v>
      </c>
      <c r="T10" s="160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</row>
    <row r="11" spans="2:72" s="1" customFormat="1" ht="17.25" customHeight="1" x14ac:dyDescent="0.2">
      <c r="B11" s="161">
        <v>1</v>
      </c>
      <c r="C11" s="161"/>
      <c r="D11" s="162"/>
      <c r="E11" s="163"/>
      <c r="F11" s="163"/>
      <c r="G11" s="163"/>
      <c r="H11" s="163"/>
      <c r="I11" s="163"/>
      <c r="J11" s="163"/>
      <c r="K11" s="163"/>
      <c r="L11" s="119"/>
      <c r="M11" s="122"/>
      <c r="N11" s="3"/>
      <c r="O11" s="6" t="s">
        <v>24</v>
      </c>
      <c r="P11" s="148"/>
      <c r="Q11" s="148"/>
      <c r="R11" s="3"/>
      <c r="S11" s="160">
        <v>3</v>
      </c>
      <c r="T11" s="160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</row>
    <row r="12" spans="2:72" s="1" customFormat="1" ht="17.25" customHeight="1" x14ac:dyDescent="0.2">
      <c r="B12" s="174">
        <v>2</v>
      </c>
      <c r="C12" s="174"/>
      <c r="D12" s="162"/>
      <c r="E12" s="163"/>
      <c r="F12" s="163"/>
      <c r="G12" s="163"/>
      <c r="H12" s="163"/>
      <c r="I12" s="163"/>
      <c r="J12" s="163"/>
      <c r="K12" s="163"/>
      <c r="L12" s="120"/>
      <c r="M12" s="123"/>
      <c r="N12" s="3"/>
      <c r="O12" s="6" t="s">
        <v>25</v>
      </c>
      <c r="P12" s="148"/>
      <c r="Q12" s="148"/>
      <c r="R12" s="3"/>
      <c r="S12" s="160">
        <v>4</v>
      </c>
      <c r="T12" s="160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</row>
    <row r="13" spans="2:72" s="1" customFormat="1" ht="17.25" customHeight="1" x14ac:dyDescent="0.2">
      <c r="B13" s="175">
        <f t="shared" ref="B13:B19" si="0">B12+1</f>
        <v>3</v>
      </c>
      <c r="C13" s="175"/>
      <c r="D13" s="170"/>
      <c r="E13" s="170"/>
      <c r="F13" s="170"/>
      <c r="G13" s="170"/>
      <c r="H13" s="170"/>
      <c r="I13" s="170"/>
      <c r="J13" s="170"/>
      <c r="K13" s="170"/>
      <c r="L13" s="11"/>
      <c r="M13" s="12"/>
      <c r="N13" s="3"/>
      <c r="O13" s="6" t="s">
        <v>26</v>
      </c>
      <c r="P13" s="148"/>
      <c r="Q13" s="148"/>
      <c r="R13" s="3"/>
      <c r="S13" s="160">
        <v>5</v>
      </c>
      <c r="T13" s="160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</row>
    <row r="14" spans="2:72" s="1" customFormat="1" ht="17.25" customHeight="1" x14ac:dyDescent="0.2">
      <c r="B14" s="169">
        <f t="shared" si="0"/>
        <v>4</v>
      </c>
      <c r="C14" s="169"/>
      <c r="D14" s="170"/>
      <c r="E14" s="170"/>
      <c r="F14" s="170"/>
      <c r="G14" s="170"/>
      <c r="H14" s="170"/>
      <c r="I14" s="170"/>
      <c r="J14" s="170"/>
      <c r="K14" s="170"/>
      <c r="L14" s="11"/>
      <c r="M14" s="12"/>
      <c r="N14" s="3"/>
      <c r="O14" s="6" t="s">
        <v>27</v>
      </c>
      <c r="P14" s="171"/>
      <c r="Q14" s="172"/>
      <c r="R14" s="3"/>
      <c r="S14" s="160">
        <v>6</v>
      </c>
      <c r="T14" s="160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</row>
    <row r="15" spans="2:72" s="1" customFormat="1" ht="17.25" customHeight="1" x14ac:dyDescent="0.2">
      <c r="B15" s="173">
        <f t="shared" si="0"/>
        <v>5</v>
      </c>
      <c r="C15" s="173"/>
      <c r="D15" s="170"/>
      <c r="E15" s="170"/>
      <c r="F15" s="170"/>
      <c r="G15" s="170"/>
      <c r="H15" s="170"/>
      <c r="I15" s="170"/>
      <c r="J15" s="170"/>
      <c r="K15" s="170"/>
      <c r="L15" s="11"/>
      <c r="M15" s="12"/>
      <c r="N15" s="3"/>
      <c r="O15" s="6" t="s">
        <v>28</v>
      </c>
      <c r="P15" s="148"/>
      <c r="Q15" s="148"/>
      <c r="R15" s="3"/>
      <c r="S15" s="160">
        <v>7</v>
      </c>
      <c r="T15" s="160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spans="2:72" s="1" customFormat="1" ht="17.25" customHeight="1" x14ac:dyDescent="0.2">
      <c r="B16" s="180">
        <f t="shared" si="0"/>
        <v>6</v>
      </c>
      <c r="C16" s="180"/>
      <c r="D16" s="181"/>
      <c r="E16" s="170"/>
      <c r="F16" s="170"/>
      <c r="G16" s="170"/>
      <c r="H16" s="170"/>
      <c r="I16" s="170"/>
      <c r="J16" s="170"/>
      <c r="K16" s="170"/>
      <c r="L16" s="11"/>
      <c r="M16" s="12"/>
      <c r="N16" s="3"/>
      <c r="O16" s="6" t="s">
        <v>29</v>
      </c>
      <c r="P16" s="148"/>
      <c r="Q16" s="148"/>
      <c r="R16" s="3"/>
      <c r="S16" s="160">
        <v>8</v>
      </c>
      <c r="T16" s="160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</row>
    <row r="17" spans="1:73" s="1" customFormat="1" ht="17.25" customHeight="1" x14ac:dyDescent="0.2">
      <c r="B17" s="182">
        <f t="shared" si="0"/>
        <v>7</v>
      </c>
      <c r="C17" s="182"/>
      <c r="D17" s="170"/>
      <c r="E17" s="177"/>
      <c r="F17" s="177"/>
      <c r="G17" s="177"/>
      <c r="H17" s="177"/>
      <c r="I17" s="177"/>
      <c r="J17" s="177"/>
      <c r="K17" s="178"/>
      <c r="L17" s="11"/>
      <c r="M17" s="12"/>
      <c r="N17" s="3"/>
      <c r="O17" s="6" t="s">
        <v>30</v>
      </c>
      <c r="P17" s="148"/>
      <c r="Q17" s="148"/>
      <c r="R17" s="3"/>
      <c r="S17" s="160">
        <v>9</v>
      </c>
      <c r="T17" s="160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</row>
    <row r="18" spans="1:73" s="1" customFormat="1" ht="17.25" customHeight="1" x14ac:dyDescent="0.2">
      <c r="B18" s="176">
        <f t="shared" si="0"/>
        <v>8</v>
      </c>
      <c r="C18" s="176"/>
      <c r="D18" s="170"/>
      <c r="E18" s="177"/>
      <c r="F18" s="177"/>
      <c r="G18" s="177"/>
      <c r="H18" s="177"/>
      <c r="I18" s="177"/>
      <c r="J18" s="177"/>
      <c r="K18" s="178"/>
      <c r="L18" s="13"/>
      <c r="M18" s="12"/>
      <c r="N18" s="3"/>
      <c r="O18" s="6" t="s">
        <v>31</v>
      </c>
      <c r="P18" s="148"/>
      <c r="Q18" s="148"/>
      <c r="R18" s="3"/>
      <c r="S18" s="160">
        <v>10</v>
      </c>
      <c r="T18" s="160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</row>
    <row r="19" spans="1:73" s="1" customFormat="1" ht="17.25" customHeight="1" x14ac:dyDescent="0.2">
      <c r="B19" s="179">
        <f t="shared" si="0"/>
        <v>9</v>
      </c>
      <c r="C19" s="179"/>
      <c r="D19" s="170"/>
      <c r="E19" s="170"/>
      <c r="F19" s="170"/>
      <c r="G19" s="170"/>
      <c r="H19" s="170"/>
      <c r="I19" s="170"/>
      <c r="J19" s="170"/>
      <c r="K19" s="170"/>
      <c r="L19" s="11"/>
      <c r="M19" s="12"/>
      <c r="N19" s="3"/>
      <c r="O19" s="6" t="s">
        <v>32</v>
      </c>
      <c r="P19" s="148"/>
      <c r="Q19" s="148"/>
      <c r="R19" s="3"/>
      <c r="S19" s="160">
        <v>11</v>
      </c>
      <c r="T19" s="160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</row>
    <row r="20" spans="1:73" s="1" customFormat="1" ht="17.25" customHeight="1" x14ac:dyDescent="0.2">
      <c r="B20" s="189">
        <v>10</v>
      </c>
      <c r="C20" s="189"/>
      <c r="D20" s="170"/>
      <c r="E20" s="170"/>
      <c r="F20" s="170"/>
      <c r="G20" s="170"/>
      <c r="H20" s="170"/>
      <c r="I20" s="170"/>
      <c r="J20" s="170"/>
      <c r="K20" s="170"/>
      <c r="L20" s="14"/>
      <c r="M20" s="15"/>
      <c r="N20" s="3"/>
      <c r="O20" s="7"/>
      <c r="P20" s="8"/>
      <c r="Q20" s="9"/>
      <c r="R20" s="3"/>
      <c r="S20" s="16"/>
      <c r="T20" s="17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</row>
    <row r="21" spans="1:73" s="1" customFormat="1" ht="17.25" customHeight="1" x14ac:dyDescent="0.2">
      <c r="B21" s="190">
        <v>11</v>
      </c>
      <c r="C21" s="190"/>
      <c r="D21" s="170"/>
      <c r="E21" s="170"/>
      <c r="F21" s="170"/>
      <c r="G21" s="170"/>
      <c r="H21" s="170"/>
      <c r="I21" s="170"/>
      <c r="J21" s="170"/>
      <c r="K21" s="170"/>
      <c r="L21" s="14"/>
      <c r="M21" s="15"/>
      <c r="N21" s="3"/>
      <c r="O21" s="7"/>
      <c r="P21" s="8"/>
      <c r="Q21" s="9"/>
      <c r="R21" s="3"/>
      <c r="S21" s="16"/>
      <c r="T21" s="17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</row>
    <row r="22" spans="1:73" s="1" customFormat="1" ht="17.25" customHeight="1" x14ac:dyDescent="0.2">
      <c r="B22" s="191">
        <v>12</v>
      </c>
      <c r="C22" s="191"/>
      <c r="D22" s="170"/>
      <c r="E22" s="170"/>
      <c r="F22" s="170"/>
      <c r="G22" s="170"/>
      <c r="H22" s="170"/>
      <c r="I22" s="170"/>
      <c r="J22" s="170"/>
      <c r="K22" s="170"/>
      <c r="L22" s="14"/>
      <c r="M22" s="15"/>
      <c r="N22" s="3"/>
      <c r="O22" s="7"/>
      <c r="P22" s="8"/>
      <c r="Q22" s="9"/>
      <c r="R22" s="3"/>
      <c r="S22" s="16"/>
      <c r="T22" s="17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</row>
    <row r="23" spans="1:73" s="1" customFormat="1" ht="17.25" customHeight="1" thickBot="1" x14ac:dyDescent="0.25">
      <c r="B23" s="183">
        <v>13</v>
      </c>
      <c r="C23" s="183"/>
      <c r="D23" s="184"/>
      <c r="E23" s="184"/>
      <c r="F23" s="184"/>
      <c r="G23" s="184"/>
      <c r="H23" s="184"/>
      <c r="I23" s="184"/>
      <c r="J23" s="184"/>
      <c r="K23" s="184"/>
      <c r="L23" s="18"/>
      <c r="M23" s="19"/>
      <c r="N23" s="3"/>
      <c r="O23" s="10" t="s">
        <v>33</v>
      </c>
      <c r="P23" s="154"/>
      <c r="Q23" s="154"/>
      <c r="R23" s="3"/>
      <c r="S23" s="185">
        <v>12</v>
      </c>
      <c r="T23" s="185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</row>
    <row r="24" spans="1:73" s="1" customFormat="1" ht="8.25" customHeight="1" thickBot="1" x14ac:dyDescent="0.25">
      <c r="C24" s="2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</row>
    <row r="25" spans="1:73" s="1" customFormat="1" ht="46.5" customHeight="1" x14ac:dyDescent="0.2">
      <c r="B25" s="186" t="s">
        <v>34</v>
      </c>
      <c r="C25" s="187"/>
      <c r="D25" s="188" t="s">
        <v>35</v>
      </c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</row>
    <row r="26" spans="1:73" s="1" customFormat="1" ht="65.25" customHeight="1" thickBot="1" x14ac:dyDescent="0.25">
      <c r="A26"/>
      <c r="B26" s="20" t="s">
        <v>36</v>
      </c>
      <c r="C26" s="198" t="s">
        <v>37</v>
      </c>
      <c r="D26" s="199"/>
      <c r="E26" s="200"/>
      <c r="F26" s="121" t="s">
        <v>38</v>
      </c>
      <c r="G26" s="21" t="s">
        <v>39</v>
      </c>
      <c r="H26" s="198" t="s">
        <v>40</v>
      </c>
      <c r="I26" s="199"/>
      <c r="J26" s="200"/>
      <c r="K26" s="198" t="s">
        <v>41</v>
      </c>
      <c r="L26" s="199"/>
      <c r="M26" s="200"/>
      <c r="N26" s="21" t="s">
        <v>42</v>
      </c>
      <c r="O26" s="21" t="s">
        <v>43</v>
      </c>
      <c r="P26" s="21" t="s">
        <v>44</v>
      </c>
      <c r="Q26" s="21" t="s">
        <v>45</v>
      </c>
      <c r="R26" s="198" t="s">
        <v>46</v>
      </c>
      <c r="S26" s="199"/>
      <c r="T26" s="200"/>
      <c r="U26" s="22" t="s">
        <v>47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</row>
    <row r="27" spans="1:73" s="1" customFormat="1" ht="16.5" customHeight="1" x14ac:dyDescent="0.2">
      <c r="A27"/>
      <c r="B27" s="127">
        <v>1</v>
      </c>
      <c r="C27" s="201"/>
      <c r="D27" s="202"/>
      <c r="E27" s="203"/>
      <c r="F27" s="125"/>
      <c r="G27" s="125"/>
      <c r="H27" s="193"/>
      <c r="I27" s="193"/>
      <c r="J27" s="195"/>
      <c r="K27" s="196"/>
      <c r="L27" s="197"/>
      <c r="M27" s="197"/>
      <c r="N27" s="24"/>
      <c r="O27" s="24"/>
      <c r="P27" s="24"/>
      <c r="Q27" s="24"/>
      <c r="R27" s="197"/>
      <c r="S27" s="197"/>
      <c r="T27" s="197"/>
      <c r="U27" s="25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</row>
    <row r="28" spans="1:73" s="1" customFormat="1" ht="16.5" customHeight="1" x14ac:dyDescent="0.2">
      <c r="A28"/>
      <c r="B28" s="127">
        <v>1</v>
      </c>
      <c r="C28" s="192"/>
      <c r="D28" s="193"/>
      <c r="E28" s="194"/>
      <c r="F28" s="126"/>
      <c r="G28" s="126"/>
      <c r="H28" s="193"/>
      <c r="I28" s="193"/>
      <c r="J28" s="195"/>
      <c r="K28" s="196"/>
      <c r="L28" s="197"/>
      <c r="M28" s="197"/>
      <c r="N28" s="24"/>
      <c r="O28" s="24"/>
      <c r="P28" s="24"/>
      <c r="Q28" s="24"/>
      <c r="R28" s="197"/>
      <c r="S28" s="197"/>
      <c r="T28" s="197"/>
      <c r="U28" s="25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</row>
    <row r="29" spans="1:73" s="1" customFormat="1" ht="16.5" customHeight="1" x14ac:dyDescent="0.2">
      <c r="A29"/>
      <c r="B29" s="127">
        <v>1</v>
      </c>
      <c r="C29" s="192"/>
      <c r="D29" s="193"/>
      <c r="E29" s="194"/>
      <c r="F29" s="126"/>
      <c r="G29" s="126"/>
      <c r="H29" s="193"/>
      <c r="I29" s="193"/>
      <c r="J29" s="195"/>
      <c r="K29" s="196"/>
      <c r="L29" s="197"/>
      <c r="M29" s="197"/>
      <c r="N29" s="24"/>
      <c r="O29" s="24"/>
      <c r="P29" s="24"/>
      <c r="Q29" s="24"/>
      <c r="R29" s="197"/>
      <c r="S29" s="197"/>
      <c r="T29" s="197"/>
      <c r="U29" s="25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</row>
    <row r="30" spans="1:73" s="1" customFormat="1" ht="16.5" customHeight="1" thickBot="1" x14ac:dyDescent="0.25">
      <c r="A30"/>
      <c r="B30" s="127">
        <v>1</v>
      </c>
      <c r="C30" s="205"/>
      <c r="D30" s="206"/>
      <c r="E30" s="207"/>
      <c r="F30" s="27"/>
      <c r="G30" s="126"/>
      <c r="H30" s="197"/>
      <c r="I30" s="197"/>
      <c r="J30" s="197"/>
      <c r="K30" s="196"/>
      <c r="L30" s="197"/>
      <c r="M30" s="197"/>
      <c r="N30" s="24"/>
      <c r="O30" s="24"/>
      <c r="P30" s="24"/>
      <c r="Q30" s="24"/>
      <c r="R30" s="197"/>
      <c r="S30" s="197"/>
      <c r="T30" s="197"/>
      <c r="U30" s="25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</row>
    <row r="31" spans="1:73" s="1" customFormat="1" ht="16.5" customHeight="1" x14ac:dyDescent="0.2">
      <c r="A31"/>
      <c r="B31" s="128">
        <v>2</v>
      </c>
      <c r="C31" s="201"/>
      <c r="D31" s="202"/>
      <c r="E31" s="203"/>
      <c r="F31" s="125"/>
      <c r="G31" s="125"/>
      <c r="H31" s="193"/>
      <c r="I31" s="193"/>
      <c r="J31" s="204"/>
      <c r="K31" s="197"/>
      <c r="L31" s="197"/>
      <c r="M31" s="197"/>
      <c r="N31" s="24"/>
      <c r="O31" s="24"/>
      <c r="P31" s="24"/>
      <c r="Q31" s="27"/>
      <c r="R31" s="197"/>
      <c r="S31" s="197"/>
      <c r="T31" s="197"/>
      <c r="U31" s="25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</row>
    <row r="32" spans="1:73" s="1" customFormat="1" ht="16.5" customHeight="1" x14ac:dyDescent="0.2">
      <c r="A32"/>
      <c r="B32" s="128">
        <v>2</v>
      </c>
      <c r="C32" s="192"/>
      <c r="D32" s="193"/>
      <c r="E32" s="194"/>
      <c r="F32" s="126"/>
      <c r="G32" s="126"/>
      <c r="H32" s="193"/>
      <c r="I32" s="193"/>
      <c r="J32" s="204"/>
      <c r="K32" s="197"/>
      <c r="L32" s="197"/>
      <c r="M32" s="197"/>
      <c r="N32" s="24"/>
      <c r="O32" s="24"/>
      <c r="P32" s="24"/>
      <c r="Q32" s="27"/>
      <c r="R32" s="197"/>
      <c r="S32" s="197"/>
      <c r="T32" s="197"/>
      <c r="U32" s="25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</row>
    <row r="33" spans="1:73" s="1" customFormat="1" ht="16.5" customHeight="1" x14ac:dyDescent="0.2">
      <c r="A33"/>
      <c r="B33" s="128">
        <v>2</v>
      </c>
      <c r="C33" s="192"/>
      <c r="D33" s="193"/>
      <c r="E33" s="194"/>
      <c r="F33" s="126"/>
      <c r="G33" s="126"/>
      <c r="H33" s="193"/>
      <c r="I33" s="193"/>
      <c r="J33" s="204"/>
      <c r="K33" s="197"/>
      <c r="L33" s="197"/>
      <c r="M33" s="197"/>
      <c r="N33" s="24"/>
      <c r="O33" s="24"/>
      <c r="P33" s="24"/>
      <c r="Q33" s="27"/>
      <c r="R33" s="197"/>
      <c r="S33" s="197"/>
      <c r="T33" s="197"/>
      <c r="U33" s="25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</row>
    <row r="34" spans="1:73" s="1" customFormat="1" ht="16.5" customHeight="1" thickBot="1" x14ac:dyDescent="0.25">
      <c r="A34"/>
      <c r="B34" s="128">
        <v>2</v>
      </c>
      <c r="C34" s="208"/>
      <c r="D34" s="209"/>
      <c r="E34" s="210"/>
      <c r="F34" s="126"/>
      <c r="G34" s="126"/>
      <c r="H34" s="193"/>
      <c r="I34" s="193"/>
      <c r="J34" s="195"/>
      <c r="K34" s="197"/>
      <c r="L34" s="197"/>
      <c r="M34" s="197"/>
      <c r="N34" s="24"/>
      <c r="O34" s="24"/>
      <c r="P34" s="24"/>
      <c r="Q34" s="27"/>
      <c r="R34" s="197"/>
      <c r="S34" s="197"/>
      <c r="T34" s="197"/>
      <c r="U34" s="25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</row>
    <row r="35" spans="1:73" s="1" customFormat="1" ht="16.5" customHeight="1" x14ac:dyDescent="0.2">
      <c r="A35"/>
      <c r="B35" s="26">
        <v>2</v>
      </c>
      <c r="C35" s="211"/>
      <c r="D35" s="211"/>
      <c r="E35" s="211"/>
      <c r="F35" s="27"/>
      <c r="G35" s="24"/>
      <c r="H35" s="197"/>
      <c r="I35" s="197"/>
      <c r="J35" s="197"/>
      <c r="K35" s="197"/>
      <c r="L35" s="197"/>
      <c r="M35" s="197"/>
      <c r="N35" s="24"/>
      <c r="O35" s="24"/>
      <c r="P35" s="24"/>
      <c r="Q35" s="27"/>
      <c r="R35" s="197"/>
      <c r="S35" s="197"/>
      <c r="T35" s="197"/>
      <c r="U35" s="25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</row>
    <row r="36" spans="1:73" s="1" customFormat="1" ht="16.5" customHeight="1" thickBot="1" x14ac:dyDescent="0.25">
      <c r="A36"/>
      <c r="B36" s="26">
        <v>2</v>
      </c>
      <c r="C36" s="206"/>
      <c r="D36" s="206"/>
      <c r="E36" s="206"/>
      <c r="F36" s="27"/>
      <c r="G36" s="24"/>
      <c r="H36" s="197"/>
      <c r="I36" s="197"/>
      <c r="J36" s="197"/>
      <c r="K36" s="197"/>
      <c r="L36" s="197"/>
      <c r="M36" s="197"/>
      <c r="N36" s="24"/>
      <c r="O36" s="24"/>
      <c r="P36" s="24"/>
      <c r="Q36" s="27"/>
      <c r="R36" s="197"/>
      <c r="S36" s="197"/>
      <c r="T36" s="197"/>
      <c r="U36" s="25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</row>
    <row r="37" spans="1:73" s="29" customFormat="1" ht="16.5" customHeight="1" x14ac:dyDescent="0.2">
      <c r="A37"/>
      <c r="B37" s="129">
        <v>3</v>
      </c>
      <c r="C37" s="201"/>
      <c r="D37" s="202"/>
      <c r="E37" s="203"/>
      <c r="F37" s="125"/>
      <c r="G37" s="125"/>
      <c r="H37" s="193"/>
      <c r="I37" s="193"/>
      <c r="J37" s="195"/>
      <c r="K37" s="197"/>
      <c r="L37" s="197"/>
      <c r="M37" s="197"/>
      <c r="N37" s="24"/>
      <c r="O37" s="24"/>
      <c r="P37" s="24"/>
      <c r="Q37" s="27"/>
      <c r="R37" s="197"/>
      <c r="S37" s="197"/>
      <c r="T37" s="197"/>
      <c r="U37" s="25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</row>
    <row r="38" spans="1:73" s="1" customFormat="1" ht="16.5" customHeight="1" x14ac:dyDescent="0.2">
      <c r="A38"/>
      <c r="B38" s="129">
        <v>3</v>
      </c>
      <c r="C38" s="192"/>
      <c r="D38" s="193"/>
      <c r="E38" s="194"/>
      <c r="F38" s="126"/>
      <c r="G38" s="126"/>
      <c r="H38" s="193"/>
      <c r="I38" s="193"/>
      <c r="J38" s="195"/>
      <c r="K38" s="197"/>
      <c r="L38" s="197"/>
      <c r="M38" s="197"/>
      <c r="N38" s="24"/>
      <c r="O38" s="24"/>
      <c r="P38" s="24"/>
      <c r="Q38" s="27"/>
      <c r="R38" s="197"/>
      <c r="S38" s="197"/>
      <c r="T38" s="197"/>
      <c r="U38" s="25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</row>
    <row r="39" spans="1:73" s="1" customFormat="1" ht="16.5" customHeight="1" x14ac:dyDescent="0.2">
      <c r="A39"/>
      <c r="B39" s="129">
        <v>3</v>
      </c>
      <c r="C39" s="221"/>
      <c r="D39" s="222"/>
      <c r="E39" s="223"/>
      <c r="F39" s="126"/>
      <c r="G39" s="126"/>
      <c r="H39" s="193"/>
      <c r="I39" s="193"/>
      <c r="J39" s="195"/>
      <c r="K39" s="197"/>
      <c r="L39" s="197"/>
      <c r="M39" s="197"/>
      <c r="N39" s="24"/>
      <c r="O39" s="24"/>
      <c r="P39" s="24"/>
      <c r="Q39" s="27"/>
      <c r="R39" s="197"/>
      <c r="S39" s="197"/>
      <c r="T39" s="197"/>
      <c r="U39" s="25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</row>
    <row r="40" spans="1:73" s="1" customFormat="1" ht="16.5" customHeight="1" x14ac:dyDescent="0.2">
      <c r="A40"/>
      <c r="B40" s="129">
        <v>3</v>
      </c>
      <c r="C40" s="212"/>
      <c r="D40" s="213"/>
      <c r="E40" s="214"/>
      <c r="F40" s="126"/>
      <c r="G40" s="126"/>
      <c r="H40" s="193"/>
      <c r="I40" s="193"/>
      <c r="J40" s="195"/>
      <c r="K40" s="197"/>
      <c r="L40" s="197"/>
      <c r="M40" s="197"/>
      <c r="N40" s="24"/>
      <c r="O40" s="24"/>
      <c r="P40" s="24"/>
      <c r="Q40" s="27"/>
      <c r="R40" s="197"/>
      <c r="S40" s="197"/>
      <c r="T40" s="197"/>
      <c r="U40" s="25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</row>
    <row r="41" spans="1:73" s="1" customFormat="1" ht="16.5" customHeight="1" x14ac:dyDescent="0.2">
      <c r="A41"/>
      <c r="B41" s="129">
        <v>3</v>
      </c>
      <c r="C41" s="215"/>
      <c r="D41" s="216"/>
      <c r="E41" s="217"/>
      <c r="F41" s="126"/>
      <c r="G41" s="126"/>
      <c r="H41" s="147"/>
      <c r="I41" s="147"/>
      <c r="J41" s="125"/>
      <c r="K41" s="218"/>
      <c r="L41" s="219"/>
      <c r="M41" s="220"/>
      <c r="N41" s="24"/>
      <c r="O41" s="24"/>
      <c r="P41" s="24"/>
      <c r="Q41" s="27"/>
      <c r="R41" s="197"/>
      <c r="S41" s="197"/>
      <c r="T41" s="197"/>
      <c r="U41" s="25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</row>
    <row r="42" spans="1:73" s="1" customFormat="1" ht="16.5" customHeight="1" x14ac:dyDescent="0.2">
      <c r="A42"/>
      <c r="B42" s="129">
        <v>3</v>
      </c>
      <c r="C42" s="215"/>
      <c r="D42" s="216"/>
      <c r="E42" s="217"/>
      <c r="F42" s="126"/>
      <c r="G42" s="126"/>
      <c r="H42" s="147"/>
      <c r="I42" s="147"/>
      <c r="J42" s="125"/>
      <c r="K42" s="218"/>
      <c r="L42" s="219"/>
      <c r="M42" s="220"/>
      <c r="N42" s="24"/>
      <c r="O42" s="24"/>
      <c r="P42" s="24"/>
      <c r="Q42" s="27"/>
      <c r="R42" s="197"/>
      <c r="S42" s="197"/>
      <c r="T42" s="197"/>
      <c r="U42" s="25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</row>
    <row r="43" spans="1:73" s="1" customFormat="1" ht="16.5" customHeight="1" x14ac:dyDescent="0.2">
      <c r="A43"/>
      <c r="B43" s="129">
        <v>3</v>
      </c>
      <c r="C43" s="215"/>
      <c r="D43" s="216"/>
      <c r="E43" s="217"/>
      <c r="F43" s="126"/>
      <c r="G43" s="126"/>
      <c r="H43" s="147"/>
      <c r="I43" s="147"/>
      <c r="J43" s="125"/>
      <c r="K43" s="218"/>
      <c r="L43" s="219"/>
      <c r="M43" s="220"/>
      <c r="N43" s="24"/>
      <c r="O43" s="24"/>
      <c r="P43" s="24"/>
      <c r="Q43" s="27"/>
      <c r="R43" s="197"/>
      <c r="S43" s="197"/>
      <c r="T43" s="197"/>
      <c r="U43" s="25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</row>
    <row r="44" spans="1:73" s="1" customFormat="1" ht="16.5" customHeight="1" x14ac:dyDescent="0.2">
      <c r="A44"/>
      <c r="B44" s="129">
        <v>3</v>
      </c>
      <c r="C44" s="224"/>
      <c r="D44" s="225"/>
      <c r="E44" s="226"/>
      <c r="F44" s="126"/>
      <c r="G44" s="126"/>
      <c r="H44" s="147"/>
      <c r="I44" s="147"/>
      <c r="J44" s="125"/>
      <c r="K44" s="218"/>
      <c r="L44" s="219"/>
      <c r="M44" s="220"/>
      <c r="N44" s="24"/>
      <c r="O44" s="24"/>
      <c r="P44" s="24"/>
      <c r="Q44" s="27"/>
      <c r="R44" s="197"/>
      <c r="S44" s="197"/>
      <c r="T44" s="197"/>
      <c r="U44" s="25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</row>
    <row r="45" spans="1:73" s="1" customFormat="1" ht="16.5" customHeight="1" x14ac:dyDescent="0.2">
      <c r="A45"/>
      <c r="B45" s="130">
        <v>4</v>
      </c>
      <c r="C45" s="227"/>
      <c r="D45" s="228"/>
      <c r="E45" s="229"/>
      <c r="F45" s="125"/>
      <c r="G45" s="125"/>
      <c r="H45" s="193"/>
      <c r="I45" s="193"/>
      <c r="J45" s="195"/>
      <c r="K45" s="197"/>
      <c r="L45" s="197"/>
      <c r="M45" s="197"/>
      <c r="N45" s="24"/>
      <c r="O45" s="24"/>
      <c r="P45" s="24"/>
      <c r="Q45" s="27"/>
      <c r="R45" s="197"/>
      <c r="S45" s="197"/>
      <c r="T45" s="197"/>
      <c r="U45" s="25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</row>
    <row r="46" spans="1:73" s="1" customFormat="1" ht="16.5" customHeight="1" x14ac:dyDescent="0.2">
      <c r="A46"/>
      <c r="B46" s="130">
        <v>4</v>
      </c>
      <c r="C46" s="192"/>
      <c r="D46" s="193"/>
      <c r="E46" s="194"/>
      <c r="F46" s="126"/>
      <c r="G46" s="126"/>
      <c r="H46" s="193"/>
      <c r="I46" s="193"/>
      <c r="J46" s="195"/>
      <c r="K46" s="197"/>
      <c r="L46" s="197"/>
      <c r="M46" s="197"/>
      <c r="N46" s="24"/>
      <c r="O46" s="24"/>
      <c r="P46" s="24"/>
      <c r="Q46" s="27"/>
      <c r="R46" s="197"/>
      <c r="S46" s="197"/>
      <c r="T46" s="197"/>
      <c r="U46" s="25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</row>
    <row r="47" spans="1:73" s="1" customFormat="1" ht="16.5" customHeight="1" x14ac:dyDescent="0.2">
      <c r="A47"/>
      <c r="B47" s="130">
        <v>4</v>
      </c>
      <c r="C47" s="192"/>
      <c r="D47" s="193"/>
      <c r="E47" s="194"/>
      <c r="F47" s="126"/>
      <c r="G47" s="126"/>
      <c r="H47" s="193"/>
      <c r="I47" s="193"/>
      <c r="J47" s="195"/>
      <c r="K47" s="197"/>
      <c r="L47" s="197"/>
      <c r="M47" s="197"/>
      <c r="N47" s="24"/>
      <c r="O47" s="24"/>
      <c r="P47" s="24"/>
      <c r="Q47" s="27"/>
      <c r="R47" s="197"/>
      <c r="S47" s="197"/>
      <c r="T47" s="197"/>
      <c r="U47" s="25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</row>
    <row r="48" spans="1:73" s="1" customFormat="1" ht="16.5" customHeight="1" thickBot="1" x14ac:dyDescent="0.25">
      <c r="A48"/>
      <c r="B48" s="130">
        <v>4</v>
      </c>
      <c r="C48" s="221"/>
      <c r="D48" s="222"/>
      <c r="E48" s="223"/>
      <c r="F48" s="126"/>
      <c r="G48" s="126"/>
      <c r="H48" s="193"/>
      <c r="I48" s="193"/>
      <c r="J48" s="195"/>
      <c r="K48" s="197"/>
      <c r="L48" s="197"/>
      <c r="M48" s="197"/>
      <c r="N48" s="24"/>
      <c r="O48" s="24"/>
      <c r="P48" s="24"/>
      <c r="Q48" s="27"/>
      <c r="R48" s="197"/>
      <c r="S48" s="197"/>
      <c r="T48" s="197"/>
      <c r="U48" s="25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</row>
    <row r="49" spans="1:73" s="29" customFormat="1" ht="16.5" customHeight="1" x14ac:dyDescent="0.2">
      <c r="A49"/>
      <c r="B49" s="131">
        <v>5</v>
      </c>
      <c r="C49" s="201"/>
      <c r="D49" s="202"/>
      <c r="E49" s="203"/>
      <c r="F49" s="125"/>
      <c r="G49" s="125"/>
      <c r="H49" s="197"/>
      <c r="I49" s="197"/>
      <c r="J49" s="197"/>
      <c r="K49" s="197"/>
      <c r="L49" s="197"/>
      <c r="M49" s="197"/>
      <c r="N49" s="24"/>
      <c r="O49" s="24"/>
      <c r="P49" s="24"/>
      <c r="Q49" s="27"/>
      <c r="R49" s="197"/>
      <c r="S49" s="197"/>
      <c r="T49" s="197"/>
      <c r="U49" s="25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</row>
    <row r="50" spans="1:73" s="1" customFormat="1" ht="16.5" customHeight="1" x14ac:dyDescent="0.2">
      <c r="A50"/>
      <c r="B50" s="131">
        <v>5</v>
      </c>
      <c r="C50" s="192"/>
      <c r="D50" s="193"/>
      <c r="E50" s="194"/>
      <c r="F50" s="126"/>
      <c r="G50" s="126"/>
      <c r="H50" s="197"/>
      <c r="I50" s="197"/>
      <c r="J50" s="197"/>
      <c r="K50" s="197"/>
      <c r="L50" s="197"/>
      <c r="M50" s="197"/>
      <c r="N50" s="24"/>
      <c r="O50" s="24"/>
      <c r="P50" s="24"/>
      <c r="Q50" s="27"/>
      <c r="R50" s="197"/>
      <c r="S50" s="197"/>
      <c r="T50" s="197"/>
      <c r="U50" s="25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</row>
    <row r="51" spans="1:73" s="1" customFormat="1" ht="16.5" customHeight="1" thickBot="1" x14ac:dyDescent="0.25">
      <c r="A51"/>
      <c r="B51" s="131">
        <v>5</v>
      </c>
      <c r="C51" s="205"/>
      <c r="D51" s="206"/>
      <c r="E51" s="207"/>
      <c r="F51" s="124"/>
      <c r="G51" s="126"/>
      <c r="H51" s="197"/>
      <c r="I51" s="197"/>
      <c r="J51" s="197"/>
      <c r="K51" s="197"/>
      <c r="L51" s="197"/>
      <c r="M51" s="197"/>
      <c r="N51" s="24"/>
      <c r="O51" s="24"/>
      <c r="P51" s="24"/>
      <c r="Q51" s="27"/>
      <c r="R51" s="197"/>
      <c r="S51" s="197"/>
      <c r="T51" s="197"/>
      <c r="U51" s="25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</row>
    <row r="52" spans="1:73" s="1" customFormat="1" ht="16.5" customHeight="1" x14ac:dyDescent="0.2">
      <c r="A52"/>
      <c r="B52" s="132">
        <v>6</v>
      </c>
      <c r="C52" s="201"/>
      <c r="D52" s="202"/>
      <c r="E52" s="203"/>
      <c r="F52" s="125"/>
      <c r="G52" s="125"/>
      <c r="H52" s="197"/>
      <c r="I52" s="197"/>
      <c r="J52" s="197"/>
      <c r="K52" s="197"/>
      <c r="L52" s="197"/>
      <c r="M52" s="197"/>
      <c r="N52" s="24"/>
      <c r="O52" s="24"/>
      <c r="P52" s="24"/>
      <c r="Q52" s="27"/>
      <c r="R52" s="197"/>
      <c r="S52" s="197"/>
      <c r="T52" s="197"/>
      <c r="U52" s="25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</row>
    <row r="53" spans="1:73" s="1" customFormat="1" ht="16.5" customHeight="1" x14ac:dyDescent="0.2">
      <c r="A53"/>
      <c r="B53" s="132">
        <v>6</v>
      </c>
      <c r="C53" s="192"/>
      <c r="D53" s="193"/>
      <c r="E53" s="194"/>
      <c r="F53" s="126"/>
      <c r="G53" s="126"/>
      <c r="H53" s="197"/>
      <c r="I53" s="197"/>
      <c r="J53" s="197"/>
      <c r="K53" s="197"/>
      <c r="L53" s="197"/>
      <c r="M53" s="197"/>
      <c r="N53" s="24"/>
      <c r="O53" s="24"/>
      <c r="P53" s="24"/>
      <c r="Q53" s="27"/>
      <c r="R53" s="197"/>
      <c r="S53" s="197"/>
      <c r="T53" s="197"/>
      <c r="U53" s="25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</row>
    <row r="54" spans="1:73" s="1" customFormat="1" ht="16.5" customHeight="1" x14ac:dyDescent="0.2">
      <c r="A54"/>
      <c r="B54" s="132">
        <v>6</v>
      </c>
      <c r="C54" s="233"/>
      <c r="D54" s="197"/>
      <c r="E54" s="234"/>
      <c r="F54" s="124"/>
      <c r="G54" s="126"/>
      <c r="H54" s="197"/>
      <c r="I54" s="197"/>
      <c r="J54" s="197"/>
      <c r="K54" s="197"/>
      <c r="L54" s="197"/>
      <c r="M54" s="197"/>
      <c r="N54" s="24"/>
      <c r="O54" s="24"/>
      <c r="P54" s="24"/>
      <c r="Q54" s="27"/>
      <c r="R54" s="197"/>
      <c r="S54" s="197"/>
      <c r="T54" s="197"/>
      <c r="U54" s="25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</row>
    <row r="55" spans="1:73" s="1" customFormat="1" ht="16.5" customHeight="1" thickBot="1" x14ac:dyDescent="0.25">
      <c r="A55"/>
      <c r="B55" s="132">
        <v>6</v>
      </c>
      <c r="C55" s="205"/>
      <c r="D55" s="206"/>
      <c r="E55" s="207"/>
      <c r="F55" s="124"/>
      <c r="G55" s="24"/>
      <c r="H55" s="197"/>
      <c r="I55" s="197"/>
      <c r="J55" s="197"/>
      <c r="K55" s="197"/>
      <c r="L55" s="197"/>
      <c r="M55" s="197"/>
      <c r="N55" s="24"/>
      <c r="O55" s="24"/>
      <c r="P55" s="24"/>
      <c r="Q55" s="27"/>
      <c r="R55" s="197"/>
      <c r="S55" s="197"/>
      <c r="T55" s="197"/>
      <c r="U55" s="25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</row>
    <row r="56" spans="1:73" s="1" customFormat="1" ht="16.5" customHeight="1" x14ac:dyDescent="0.2">
      <c r="A56"/>
      <c r="B56" s="133">
        <v>7</v>
      </c>
      <c r="C56" s="230"/>
      <c r="D56" s="231"/>
      <c r="E56" s="232"/>
      <c r="F56" s="124"/>
      <c r="G56" s="126"/>
      <c r="H56" s="197"/>
      <c r="I56" s="197"/>
      <c r="J56" s="197"/>
      <c r="K56" s="197"/>
      <c r="L56" s="197"/>
      <c r="M56" s="197"/>
      <c r="N56" s="24"/>
      <c r="O56" s="24"/>
      <c r="P56" s="24"/>
      <c r="Q56" s="27"/>
      <c r="R56" s="197"/>
      <c r="S56" s="197"/>
      <c r="T56" s="197"/>
      <c r="U56" s="25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</row>
    <row r="57" spans="1:73" s="1" customFormat="1" ht="16.5" customHeight="1" x14ac:dyDescent="0.2">
      <c r="A57"/>
      <c r="B57" s="133">
        <v>7</v>
      </c>
      <c r="C57" s="233"/>
      <c r="D57" s="197"/>
      <c r="E57" s="234"/>
      <c r="F57" s="124"/>
      <c r="G57" s="126"/>
      <c r="H57" s="197"/>
      <c r="I57" s="197"/>
      <c r="J57" s="197"/>
      <c r="K57" s="197"/>
      <c r="L57" s="197"/>
      <c r="M57" s="197"/>
      <c r="N57" s="24"/>
      <c r="O57" s="24"/>
      <c r="P57" s="24"/>
      <c r="Q57" s="27"/>
      <c r="R57" s="197"/>
      <c r="S57" s="197"/>
      <c r="T57" s="197"/>
      <c r="U57" s="25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</row>
    <row r="58" spans="1:73" s="1" customFormat="1" ht="16.5" customHeight="1" x14ac:dyDescent="0.2">
      <c r="A58"/>
      <c r="B58" s="133">
        <v>7</v>
      </c>
      <c r="C58" s="233"/>
      <c r="D58" s="197"/>
      <c r="E58" s="234"/>
      <c r="F58" s="124"/>
      <c r="G58" s="126"/>
      <c r="H58" s="197"/>
      <c r="I58" s="197"/>
      <c r="J58" s="197"/>
      <c r="K58" s="197"/>
      <c r="L58" s="197"/>
      <c r="M58" s="197"/>
      <c r="N58" s="24"/>
      <c r="O58" s="24"/>
      <c r="P58" s="24"/>
      <c r="Q58" s="27"/>
      <c r="R58" s="197"/>
      <c r="S58" s="197"/>
      <c r="T58" s="197"/>
      <c r="U58" s="25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</row>
    <row r="59" spans="1:73" s="1" customFormat="1" ht="16.5" customHeight="1" thickBot="1" x14ac:dyDescent="0.25">
      <c r="A59"/>
      <c r="B59" s="133">
        <v>7</v>
      </c>
      <c r="C59" s="205"/>
      <c r="D59" s="206"/>
      <c r="E59" s="207"/>
      <c r="F59" s="124"/>
      <c r="G59" s="126"/>
      <c r="H59" s="197"/>
      <c r="I59" s="197"/>
      <c r="J59" s="197"/>
      <c r="K59" s="197"/>
      <c r="L59" s="197"/>
      <c r="M59" s="197"/>
      <c r="N59" s="24"/>
      <c r="O59" s="24"/>
      <c r="P59" s="24"/>
      <c r="Q59" s="27"/>
      <c r="R59" s="197"/>
      <c r="S59" s="197"/>
      <c r="T59" s="197"/>
      <c r="U59" s="25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</row>
    <row r="60" spans="1:73" s="1" customFormat="1" ht="16.5" customHeight="1" x14ac:dyDescent="0.2">
      <c r="A60"/>
      <c r="B60" s="134">
        <v>8</v>
      </c>
      <c r="C60" s="230"/>
      <c r="D60" s="231"/>
      <c r="E60" s="232"/>
      <c r="F60" s="124"/>
      <c r="G60" s="126"/>
      <c r="H60" s="197"/>
      <c r="I60" s="197"/>
      <c r="J60" s="197"/>
      <c r="K60" s="197"/>
      <c r="L60" s="197"/>
      <c r="M60" s="197"/>
      <c r="N60" s="24"/>
      <c r="O60" s="24"/>
      <c r="P60" s="24"/>
      <c r="Q60" s="27"/>
      <c r="R60" s="197"/>
      <c r="S60" s="197"/>
      <c r="T60" s="197"/>
      <c r="U60" s="25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</row>
    <row r="61" spans="1:73" s="1" customFormat="1" ht="16.5" customHeight="1" x14ac:dyDescent="0.2">
      <c r="A61"/>
      <c r="B61" s="134">
        <v>8</v>
      </c>
      <c r="C61" s="233"/>
      <c r="D61" s="197"/>
      <c r="E61" s="234"/>
      <c r="F61" s="124"/>
      <c r="G61" s="126"/>
      <c r="H61" s="197"/>
      <c r="I61" s="197"/>
      <c r="J61" s="197"/>
      <c r="K61" s="197"/>
      <c r="L61" s="197"/>
      <c r="M61" s="197"/>
      <c r="N61" s="24"/>
      <c r="O61" s="24"/>
      <c r="P61" s="24"/>
      <c r="Q61" s="27"/>
      <c r="R61" s="197"/>
      <c r="S61" s="197"/>
      <c r="T61" s="197"/>
      <c r="U61" s="25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</row>
    <row r="62" spans="1:73" s="1" customFormat="1" ht="16.5" customHeight="1" x14ac:dyDescent="0.2">
      <c r="A62"/>
      <c r="B62" s="134">
        <v>8</v>
      </c>
      <c r="C62" s="233"/>
      <c r="D62" s="197"/>
      <c r="E62" s="234"/>
      <c r="F62" s="124"/>
      <c r="G62" s="126"/>
      <c r="H62" s="197"/>
      <c r="I62" s="197"/>
      <c r="J62" s="197"/>
      <c r="K62" s="197"/>
      <c r="L62" s="197"/>
      <c r="M62" s="197"/>
      <c r="N62" s="24"/>
      <c r="O62" s="24"/>
      <c r="P62" s="24"/>
      <c r="Q62" s="27"/>
      <c r="R62" s="197"/>
      <c r="S62" s="197"/>
      <c r="T62" s="197"/>
      <c r="U62" s="25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</row>
    <row r="63" spans="1:73" s="1" customFormat="1" ht="16.5" customHeight="1" thickBot="1" x14ac:dyDescent="0.25">
      <c r="A63"/>
      <c r="B63" s="134">
        <v>8</v>
      </c>
      <c r="C63" s="205"/>
      <c r="D63" s="206"/>
      <c r="E63" s="207"/>
      <c r="F63" s="124"/>
      <c r="G63" s="126"/>
      <c r="H63" s="197"/>
      <c r="I63" s="197"/>
      <c r="J63" s="197"/>
      <c r="K63" s="197"/>
      <c r="L63" s="197"/>
      <c r="M63" s="197"/>
      <c r="N63" s="24"/>
      <c r="O63" s="24"/>
      <c r="P63" s="24"/>
      <c r="Q63" s="27"/>
      <c r="R63" s="197"/>
      <c r="S63" s="197"/>
      <c r="T63" s="197"/>
      <c r="U63" s="25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</row>
    <row r="64" spans="1:73" s="1" customFormat="1" ht="16.5" customHeight="1" x14ac:dyDescent="0.2">
      <c r="A64"/>
      <c r="B64" s="135">
        <v>9</v>
      </c>
      <c r="C64" s="136"/>
      <c r="D64" s="137"/>
      <c r="E64" s="138"/>
      <c r="F64" s="118"/>
      <c r="G64" s="126"/>
      <c r="H64" s="218"/>
      <c r="I64" s="219"/>
      <c r="J64" s="220"/>
      <c r="K64" s="197"/>
      <c r="L64" s="197"/>
      <c r="M64" s="197"/>
      <c r="N64" s="24"/>
      <c r="O64" s="24"/>
      <c r="P64" s="24"/>
      <c r="Q64" s="27"/>
      <c r="R64" s="197"/>
      <c r="S64" s="197"/>
      <c r="T64" s="197"/>
      <c r="U64" s="25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</row>
    <row r="65" spans="1:73" s="1" customFormat="1" ht="16.5" customHeight="1" x14ac:dyDescent="0.2">
      <c r="A65"/>
      <c r="B65" s="135">
        <v>9</v>
      </c>
      <c r="C65" s="139"/>
      <c r="D65" s="117"/>
      <c r="E65" s="140"/>
      <c r="F65" s="118"/>
      <c r="G65" s="126"/>
      <c r="H65" s="218"/>
      <c r="I65" s="219"/>
      <c r="J65" s="220"/>
      <c r="K65" s="197"/>
      <c r="L65" s="197"/>
      <c r="M65" s="197"/>
      <c r="N65" s="24"/>
      <c r="O65" s="24"/>
      <c r="P65" s="24"/>
      <c r="Q65" s="27"/>
      <c r="R65" s="197"/>
      <c r="S65" s="197"/>
      <c r="T65" s="197"/>
      <c r="U65" s="25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</row>
    <row r="66" spans="1:73" s="1" customFormat="1" ht="16.5" customHeight="1" thickBot="1" x14ac:dyDescent="0.25">
      <c r="A66"/>
      <c r="B66" s="135">
        <v>9</v>
      </c>
      <c r="C66" s="142"/>
      <c r="D66" s="143"/>
      <c r="E66" s="144"/>
      <c r="F66" s="118"/>
      <c r="G66" s="126"/>
      <c r="H66" s="218"/>
      <c r="I66" s="219"/>
      <c r="J66" s="220"/>
      <c r="K66" s="197"/>
      <c r="L66" s="197"/>
      <c r="M66" s="197"/>
      <c r="N66" s="24"/>
      <c r="O66" s="24"/>
      <c r="P66" s="24"/>
      <c r="Q66" s="27"/>
      <c r="R66" s="197"/>
      <c r="S66" s="197"/>
      <c r="T66" s="197"/>
      <c r="U66" s="25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</row>
    <row r="67" spans="1:73" s="1" customFormat="1" ht="16.5" customHeight="1" x14ac:dyDescent="0.2">
      <c r="A67"/>
      <c r="B67" s="141">
        <v>10</v>
      </c>
      <c r="C67" s="230"/>
      <c r="D67" s="231"/>
      <c r="E67" s="232"/>
      <c r="F67" s="124"/>
      <c r="G67" s="126"/>
      <c r="H67" s="197"/>
      <c r="I67" s="197"/>
      <c r="J67" s="197"/>
      <c r="K67" s="197"/>
      <c r="L67" s="197"/>
      <c r="M67" s="197"/>
      <c r="N67" s="24"/>
      <c r="O67" s="24"/>
      <c r="P67" s="24"/>
      <c r="Q67" s="27"/>
      <c r="R67" s="197"/>
      <c r="S67" s="197"/>
      <c r="T67" s="197"/>
      <c r="U67" s="25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</row>
    <row r="68" spans="1:73" s="1" customFormat="1" ht="16.5" customHeight="1" thickBot="1" x14ac:dyDescent="0.25">
      <c r="A68"/>
      <c r="B68" s="141">
        <v>10</v>
      </c>
      <c r="C68" s="205"/>
      <c r="D68" s="206"/>
      <c r="E68" s="207"/>
      <c r="F68" s="124"/>
      <c r="G68" s="126"/>
      <c r="H68" s="197"/>
      <c r="I68" s="197"/>
      <c r="J68" s="197"/>
      <c r="K68" s="197"/>
      <c r="L68" s="197"/>
      <c r="M68" s="197"/>
      <c r="N68" s="24"/>
      <c r="O68" s="24"/>
      <c r="P68" s="24"/>
      <c r="Q68" s="27"/>
      <c r="R68" s="197"/>
      <c r="S68" s="197"/>
      <c r="T68" s="197"/>
      <c r="U68" s="25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</row>
    <row r="69" spans="1:73" s="1" customFormat="1" ht="16.5" customHeight="1" thickBot="1" x14ac:dyDescent="0.25">
      <c r="A69"/>
      <c r="B69" s="145">
        <v>11</v>
      </c>
      <c r="C69" s="235"/>
      <c r="D69" s="236"/>
      <c r="E69" s="237"/>
      <c r="F69" s="124"/>
      <c r="G69" s="126"/>
      <c r="H69" s="197"/>
      <c r="I69" s="197"/>
      <c r="J69" s="197"/>
      <c r="K69" s="197"/>
      <c r="L69" s="197"/>
      <c r="M69" s="197"/>
      <c r="N69" s="24"/>
      <c r="O69" s="24"/>
      <c r="P69" s="24"/>
      <c r="Q69" s="27"/>
      <c r="R69" s="197"/>
      <c r="S69" s="197"/>
      <c r="T69" s="197"/>
      <c r="U69" s="25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</row>
    <row r="70" spans="1:73" s="29" customFormat="1" ht="16.5" customHeight="1" thickBot="1" x14ac:dyDescent="0.25">
      <c r="A70"/>
      <c r="B70" s="146">
        <v>12</v>
      </c>
      <c r="C70" s="235"/>
      <c r="D70" s="236"/>
      <c r="E70" s="237"/>
      <c r="F70" s="124"/>
      <c r="G70" s="126"/>
      <c r="H70" s="197"/>
      <c r="I70" s="197"/>
      <c r="J70" s="197"/>
      <c r="K70" s="197"/>
      <c r="L70" s="197"/>
      <c r="M70" s="197"/>
      <c r="N70" s="24"/>
      <c r="O70" s="24"/>
      <c r="P70" s="24"/>
      <c r="Q70" s="27"/>
      <c r="R70" s="197"/>
      <c r="S70" s="197"/>
      <c r="T70" s="197"/>
      <c r="U70" s="25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</row>
    <row r="71" spans="1:73" s="1" customFormat="1" ht="16.5" customHeight="1" thickBot="1" x14ac:dyDescent="0.25">
      <c r="B71" s="135">
        <v>13</v>
      </c>
      <c r="C71" s="238"/>
      <c r="D71" s="239"/>
      <c r="E71" s="240"/>
      <c r="F71" s="124"/>
      <c r="G71" s="126"/>
      <c r="H71" s="197"/>
      <c r="I71" s="197"/>
      <c r="J71" s="197"/>
      <c r="K71" s="197"/>
      <c r="L71" s="197"/>
      <c r="M71" s="197"/>
      <c r="N71" s="24"/>
      <c r="O71" s="24"/>
      <c r="P71" s="24"/>
      <c r="Q71" s="27"/>
      <c r="R71" s="197"/>
      <c r="S71" s="197"/>
      <c r="T71" s="197"/>
      <c r="U71" s="25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</row>
    <row r="72" spans="1:73" s="1" customFormat="1" ht="16.5" customHeight="1" x14ac:dyDescent="0.2">
      <c r="B72" s="34"/>
      <c r="C72" s="211"/>
      <c r="D72" s="211"/>
      <c r="E72" s="211"/>
      <c r="F72" s="27"/>
      <c r="G72" s="24"/>
      <c r="H72" s="197"/>
      <c r="I72" s="197"/>
      <c r="J72" s="197"/>
      <c r="K72" s="197"/>
      <c r="L72" s="197"/>
      <c r="M72" s="197"/>
      <c r="N72" s="24"/>
      <c r="O72" s="24"/>
      <c r="P72" s="24"/>
      <c r="Q72" s="27"/>
      <c r="R72" s="197"/>
      <c r="S72" s="197"/>
      <c r="T72" s="197"/>
      <c r="U72" s="25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</row>
    <row r="73" spans="1:73" s="1" customFormat="1" ht="16.5" customHeight="1" x14ac:dyDescent="0.2">
      <c r="J73" s="197"/>
      <c r="K73" s="197"/>
      <c r="L73" s="197"/>
      <c r="M73" s="24"/>
      <c r="N73" s="24"/>
      <c r="O73" s="24"/>
      <c r="P73" s="27"/>
      <c r="Q73" s="197"/>
      <c r="R73" s="197"/>
      <c r="S73" s="197"/>
      <c r="T73" s="25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</row>
    <row r="74" spans="1:73" s="1" customFormat="1" ht="23.25" customHeight="1" x14ac:dyDescent="0.2">
      <c r="C74" s="2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</row>
    <row r="75" spans="1:73" s="1" customFormat="1" ht="23.25" customHeight="1" x14ac:dyDescent="0.2">
      <c r="C75" s="2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</row>
    <row r="76" spans="1:73" s="1" customFormat="1" ht="23.25" customHeight="1" thickBot="1" x14ac:dyDescent="0.25">
      <c r="C76" s="2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</row>
    <row r="77" spans="1:73" s="1" customFormat="1" ht="42" customHeight="1" x14ac:dyDescent="0.2">
      <c r="B77" s="34">
        <v>9</v>
      </c>
      <c r="C77" s="248" t="s">
        <v>48</v>
      </c>
      <c r="D77" s="249"/>
      <c r="E77" s="250"/>
      <c r="F77" s="37"/>
      <c r="G77" s="37"/>
      <c r="H77" s="37"/>
      <c r="I77" s="37"/>
      <c r="J77" s="37"/>
      <c r="K77" s="37"/>
      <c r="L77" s="38"/>
      <c r="M77" s="39"/>
      <c r="N77" s="39"/>
      <c r="O77" s="39"/>
      <c r="P77" s="39"/>
      <c r="Q77" s="39"/>
      <c r="R77" s="39"/>
      <c r="S77" s="39"/>
      <c r="T77" s="39"/>
      <c r="U77" s="116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</row>
    <row r="78" spans="1:73" ht="38.25" customHeight="1" x14ac:dyDescent="0.2">
      <c r="B78" s="36">
        <v>10</v>
      </c>
      <c r="C78" s="40"/>
      <c r="D78" s="40" t="s">
        <v>49</v>
      </c>
      <c r="E78" s="40"/>
      <c r="F78" s="40" t="s">
        <v>50</v>
      </c>
      <c r="G78" s="40"/>
      <c r="H78" s="40" t="s">
        <v>51</v>
      </c>
      <c r="I78" s="40"/>
      <c r="J78" s="40"/>
      <c r="K78" s="40" t="s">
        <v>52</v>
      </c>
      <c r="L78" s="41"/>
      <c r="M78" s="3"/>
      <c r="N78" s="3"/>
      <c r="O78" s="3"/>
      <c r="P78" s="3"/>
    </row>
    <row r="79" spans="1:73" ht="21" customHeight="1" thickBot="1" x14ac:dyDescent="0.25">
      <c r="B79" s="42" t="s">
        <v>53</v>
      </c>
      <c r="C79" s="43" t="s">
        <v>54</v>
      </c>
      <c r="D79" s="43" t="s">
        <v>55</v>
      </c>
      <c r="E79" s="43" t="s">
        <v>56</v>
      </c>
      <c r="F79" s="43" t="s">
        <v>57</v>
      </c>
      <c r="G79" s="43" t="s">
        <v>58</v>
      </c>
      <c r="H79" s="43" t="s">
        <v>57</v>
      </c>
      <c r="I79" s="43" t="s">
        <v>59</v>
      </c>
      <c r="J79" s="43" t="s">
        <v>58</v>
      </c>
      <c r="K79" s="43" t="s">
        <v>60</v>
      </c>
      <c r="L79" s="44" t="s">
        <v>61</v>
      </c>
      <c r="M79" s="3"/>
      <c r="N79" s="3"/>
      <c r="O79" s="3"/>
      <c r="P79" s="3"/>
    </row>
    <row r="80" spans="1:73" ht="23.25" customHeight="1" x14ac:dyDescent="0.2">
      <c r="B80" s="45">
        <v>1</v>
      </c>
      <c r="C80" s="46">
        <v>45019</v>
      </c>
      <c r="D80" s="47"/>
      <c r="E80" s="47"/>
      <c r="F80" s="48"/>
      <c r="G80" s="48"/>
      <c r="H80" s="47"/>
      <c r="I80" s="47"/>
      <c r="J80" s="47"/>
      <c r="K80" s="48"/>
      <c r="L80" s="49"/>
      <c r="M80" s="3"/>
      <c r="N80" s="3"/>
      <c r="O80" s="3"/>
      <c r="P80" s="3"/>
    </row>
    <row r="81" spans="2:72" ht="23.25" customHeight="1" x14ac:dyDescent="0.2">
      <c r="B81" s="50">
        <v>2</v>
      </c>
      <c r="C81" s="51">
        <v>45026</v>
      </c>
      <c r="D81" s="52"/>
      <c r="E81" s="52"/>
      <c r="F81" s="53"/>
      <c r="G81" s="53"/>
      <c r="H81" s="52"/>
      <c r="I81" s="52"/>
      <c r="J81" s="52"/>
      <c r="K81" s="53"/>
      <c r="L81" s="54"/>
      <c r="M81" s="3"/>
      <c r="N81" s="3"/>
      <c r="O81" s="3"/>
      <c r="P81" s="3"/>
    </row>
    <row r="82" spans="2:72" ht="23.25" customHeight="1" x14ac:dyDescent="0.2">
      <c r="B82" s="50">
        <v>3</v>
      </c>
      <c r="C82" s="51">
        <f t="shared" ref="C82:C131" si="1">C81+7</f>
        <v>45033</v>
      </c>
      <c r="D82" s="52"/>
      <c r="E82" s="52"/>
      <c r="F82" s="53"/>
      <c r="G82" s="53"/>
      <c r="H82" s="52"/>
      <c r="I82" s="52"/>
      <c r="J82" s="52"/>
      <c r="K82" s="53"/>
      <c r="L82" s="54"/>
      <c r="M82" s="3"/>
      <c r="N82" s="3"/>
      <c r="O82" s="3"/>
      <c r="P82" s="3"/>
    </row>
    <row r="83" spans="2:72" ht="23.25" customHeight="1" x14ac:dyDescent="0.2">
      <c r="B83" s="50">
        <v>4</v>
      </c>
      <c r="C83" s="51">
        <f t="shared" si="1"/>
        <v>45040</v>
      </c>
      <c r="D83" s="52"/>
      <c r="E83" s="52"/>
      <c r="F83" s="53"/>
      <c r="G83" s="53"/>
      <c r="H83" s="52"/>
      <c r="I83" s="52"/>
      <c r="J83" s="52"/>
      <c r="K83" s="53"/>
      <c r="L83" s="54"/>
      <c r="M83" s="3"/>
      <c r="N83" s="3"/>
      <c r="O83" s="3"/>
      <c r="P83" s="3"/>
    </row>
    <row r="84" spans="2:72" ht="23.25" customHeight="1" x14ac:dyDescent="0.2">
      <c r="B84" s="50">
        <v>5</v>
      </c>
      <c r="C84" s="51">
        <f t="shared" si="1"/>
        <v>45047</v>
      </c>
      <c r="D84" s="52"/>
      <c r="E84" s="52"/>
      <c r="F84" s="53"/>
      <c r="G84" s="53"/>
      <c r="H84" s="52"/>
      <c r="I84" s="52"/>
      <c r="J84" s="52"/>
      <c r="K84" s="53"/>
      <c r="L84" s="54"/>
      <c r="M84" s="3"/>
      <c r="N84" s="3"/>
      <c r="O84" s="3"/>
      <c r="P84" s="3"/>
    </row>
    <row r="85" spans="2:72" ht="23.25" customHeight="1" x14ac:dyDescent="0.2">
      <c r="B85" s="50">
        <v>6</v>
      </c>
      <c r="C85" s="51">
        <f t="shared" si="1"/>
        <v>45054</v>
      </c>
      <c r="D85" s="52"/>
      <c r="E85" s="52"/>
      <c r="F85" s="53"/>
      <c r="G85" s="53"/>
      <c r="H85" s="52"/>
      <c r="I85" s="52"/>
      <c r="J85" s="52"/>
      <c r="K85" s="53"/>
      <c r="L85" s="54"/>
      <c r="M85" s="3"/>
      <c r="N85" s="3"/>
      <c r="O85" s="3"/>
      <c r="P85" s="3"/>
    </row>
    <row r="86" spans="2:72" ht="23.25" customHeight="1" x14ac:dyDescent="0.2">
      <c r="B86" s="50">
        <v>7</v>
      </c>
      <c r="C86" s="51">
        <f t="shared" si="1"/>
        <v>45061</v>
      </c>
      <c r="D86" s="52"/>
      <c r="E86" s="52"/>
      <c r="F86" s="53"/>
      <c r="G86" s="53"/>
      <c r="H86" s="52"/>
      <c r="I86" s="52"/>
      <c r="J86" s="52"/>
      <c r="K86" s="53"/>
      <c r="L86" s="54"/>
      <c r="M86" s="3"/>
      <c r="N86" s="3"/>
      <c r="O86" s="3"/>
      <c r="P86" s="3"/>
    </row>
    <row r="87" spans="2:72" ht="23.25" customHeight="1" x14ac:dyDescent="0.2">
      <c r="B87" s="50">
        <v>8</v>
      </c>
      <c r="C87" s="51">
        <f t="shared" si="1"/>
        <v>45068</v>
      </c>
      <c r="D87" s="52"/>
      <c r="E87" s="52"/>
      <c r="F87" s="53"/>
      <c r="G87" s="53"/>
      <c r="H87" s="52"/>
      <c r="J87" s="52"/>
      <c r="K87" s="53"/>
      <c r="L87" s="54"/>
      <c r="M87" s="3"/>
      <c r="N87" s="3"/>
      <c r="O87" s="3"/>
      <c r="P87" s="3"/>
    </row>
    <row r="88" spans="2:72" ht="23.25" customHeight="1" thickBot="1" x14ac:dyDescent="0.25">
      <c r="B88" s="50">
        <v>9</v>
      </c>
      <c r="C88" s="51">
        <f t="shared" si="1"/>
        <v>45075</v>
      </c>
      <c r="D88" s="52"/>
      <c r="E88" s="52"/>
      <c r="F88" s="53"/>
      <c r="G88" s="53"/>
      <c r="H88" s="52"/>
      <c r="I88" s="52"/>
      <c r="J88" s="52"/>
      <c r="K88" s="53"/>
      <c r="L88" s="54"/>
      <c r="M88" s="3"/>
      <c r="N88" s="3"/>
      <c r="O88" s="3"/>
      <c r="P88" s="3"/>
    </row>
    <row r="89" spans="2:72" ht="23.25" customHeight="1" x14ac:dyDescent="0.2">
      <c r="B89" s="50">
        <v>10</v>
      </c>
      <c r="C89" s="51">
        <f t="shared" si="1"/>
        <v>45082</v>
      </c>
      <c r="D89" s="52"/>
      <c r="E89" s="52"/>
      <c r="F89" s="53"/>
      <c r="G89" s="53"/>
      <c r="H89" s="52"/>
      <c r="I89" s="52"/>
      <c r="J89" s="52"/>
      <c r="K89" s="53"/>
      <c r="L89" s="54"/>
      <c r="M89" s="3"/>
      <c r="N89" s="241" t="s">
        <v>62</v>
      </c>
      <c r="O89" s="242"/>
      <c r="P89" s="243"/>
    </row>
    <row r="90" spans="2:72" ht="23.25" customHeight="1" x14ac:dyDescent="0.2">
      <c r="B90" s="50">
        <v>11</v>
      </c>
      <c r="C90" s="51">
        <f t="shared" si="1"/>
        <v>45089</v>
      </c>
      <c r="D90" s="52"/>
      <c r="E90" s="52"/>
      <c r="F90" s="53"/>
      <c r="G90" s="53"/>
      <c r="H90" s="52"/>
      <c r="I90" s="52"/>
      <c r="J90" s="52"/>
      <c r="K90" s="53"/>
      <c r="L90" s="54"/>
      <c r="M90" s="3"/>
      <c r="N90" s="244" t="s">
        <v>63</v>
      </c>
      <c r="O90" s="245"/>
      <c r="P90" s="55">
        <f>SUM(D80:D93)</f>
        <v>0</v>
      </c>
    </row>
    <row r="91" spans="2:72" ht="23.25" customHeight="1" x14ac:dyDescent="0.2">
      <c r="B91" s="50">
        <v>12</v>
      </c>
      <c r="C91" s="51">
        <f t="shared" si="1"/>
        <v>45096</v>
      </c>
      <c r="D91" s="52"/>
      <c r="E91" s="52"/>
      <c r="F91" s="53"/>
      <c r="G91" s="53"/>
      <c r="H91" s="52"/>
      <c r="I91" s="52"/>
      <c r="J91" s="52"/>
      <c r="K91" s="53"/>
      <c r="L91" s="54"/>
      <c r="M91" s="3"/>
      <c r="N91" s="244" t="s">
        <v>64</v>
      </c>
      <c r="O91" s="245"/>
      <c r="P91" s="55">
        <f>SUM(G80:G93)</f>
        <v>0</v>
      </c>
    </row>
    <row r="92" spans="2:72" ht="23.25" customHeight="1" x14ac:dyDescent="0.2">
      <c r="B92" s="50">
        <v>13</v>
      </c>
      <c r="C92" s="51">
        <f t="shared" si="1"/>
        <v>45103</v>
      </c>
      <c r="D92" s="52"/>
      <c r="E92" s="52"/>
      <c r="F92" s="53"/>
      <c r="G92" s="53"/>
      <c r="H92" s="52"/>
      <c r="I92" s="52"/>
      <c r="J92" s="52"/>
      <c r="K92" s="53"/>
      <c r="L92" s="54"/>
      <c r="M92" s="3"/>
      <c r="N92" s="244" t="s">
        <v>65</v>
      </c>
      <c r="O92" s="245"/>
      <c r="P92" s="55">
        <f>SUM(J80:J93)</f>
        <v>0</v>
      </c>
    </row>
    <row r="93" spans="2:72" ht="23.25" customHeight="1" thickBot="1" x14ac:dyDescent="0.25">
      <c r="B93" s="56">
        <v>14</v>
      </c>
      <c r="C93" s="51">
        <f t="shared" si="1"/>
        <v>45110</v>
      </c>
      <c r="D93" s="57"/>
      <c r="E93" s="57"/>
      <c r="F93" s="58"/>
      <c r="G93" s="58"/>
      <c r="H93" s="57"/>
      <c r="I93" s="57"/>
      <c r="J93" s="57"/>
      <c r="K93" s="58"/>
      <c r="L93" s="59"/>
      <c r="M93" s="3"/>
      <c r="N93" s="246" t="s">
        <v>66</v>
      </c>
      <c r="O93" s="247"/>
      <c r="P93" s="60">
        <f>SUM(L80:L93)</f>
        <v>0</v>
      </c>
    </row>
    <row r="94" spans="2:72" ht="23.25" customHeight="1" x14ac:dyDescent="0.2">
      <c r="B94" s="45">
        <v>15</v>
      </c>
      <c r="C94" s="51">
        <f t="shared" si="1"/>
        <v>45117</v>
      </c>
      <c r="D94" s="47"/>
      <c r="E94" s="47"/>
      <c r="F94" s="48"/>
      <c r="G94" s="48"/>
      <c r="H94" s="47"/>
      <c r="I94" s="47"/>
      <c r="J94" s="47"/>
      <c r="K94" s="48"/>
      <c r="L94" s="49"/>
      <c r="M94" s="3"/>
      <c r="N94" s="3"/>
      <c r="O94" s="3"/>
      <c r="P94" s="3"/>
    </row>
    <row r="95" spans="2:72" s="1" customFormat="1" ht="23.25" customHeight="1" x14ac:dyDescent="0.2">
      <c r="B95" s="50">
        <v>16</v>
      </c>
      <c r="C95" s="51">
        <f t="shared" si="1"/>
        <v>45124</v>
      </c>
      <c r="D95" s="52"/>
      <c r="E95" s="52"/>
      <c r="F95" s="53"/>
      <c r="G95" s="53"/>
      <c r="H95" s="52"/>
      <c r="I95" s="52"/>
      <c r="J95" s="52"/>
      <c r="K95" s="53"/>
      <c r="L95" s="5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</row>
    <row r="96" spans="2:72" s="1" customFormat="1" ht="23.25" customHeight="1" x14ac:dyDescent="0.2">
      <c r="B96" s="50">
        <v>17</v>
      </c>
      <c r="C96" s="51">
        <f t="shared" si="1"/>
        <v>45131</v>
      </c>
      <c r="D96" s="52"/>
      <c r="E96" s="52"/>
      <c r="F96" s="53"/>
      <c r="G96" s="53"/>
      <c r="H96" s="52"/>
      <c r="I96" s="52"/>
      <c r="J96" s="52"/>
      <c r="K96" s="53"/>
      <c r="L96" s="5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</row>
    <row r="97" spans="2:72" s="1" customFormat="1" ht="23.25" customHeight="1" x14ac:dyDescent="0.2">
      <c r="B97" s="50">
        <v>18</v>
      </c>
      <c r="C97" s="51">
        <f t="shared" si="1"/>
        <v>45138</v>
      </c>
      <c r="D97" s="52"/>
      <c r="E97" s="52"/>
      <c r="F97" s="53"/>
      <c r="G97" s="53"/>
      <c r="H97" s="52"/>
      <c r="I97" s="52"/>
      <c r="J97" s="52"/>
      <c r="K97" s="53"/>
      <c r="L97" s="5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</row>
    <row r="98" spans="2:72" s="1" customFormat="1" ht="23.25" customHeight="1" x14ac:dyDescent="0.2">
      <c r="B98" s="50">
        <v>19</v>
      </c>
      <c r="C98" s="51">
        <f t="shared" si="1"/>
        <v>45145</v>
      </c>
      <c r="D98" s="52"/>
      <c r="E98" s="52"/>
      <c r="F98" s="53"/>
      <c r="G98" s="53"/>
      <c r="H98" s="52"/>
      <c r="I98" s="52"/>
      <c r="J98" s="52"/>
      <c r="K98" s="53"/>
      <c r="L98" s="5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</row>
    <row r="99" spans="2:72" s="1" customFormat="1" ht="23.25" customHeight="1" x14ac:dyDescent="0.2">
      <c r="B99" s="50">
        <v>20</v>
      </c>
      <c r="C99" s="51">
        <f t="shared" si="1"/>
        <v>45152</v>
      </c>
      <c r="D99" s="52"/>
      <c r="E99" s="52"/>
      <c r="F99" s="53"/>
      <c r="G99" s="53"/>
      <c r="H99" s="52"/>
      <c r="I99" s="52"/>
      <c r="J99" s="52"/>
      <c r="K99" s="53"/>
      <c r="L99" s="5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</row>
    <row r="100" spans="2:72" s="1" customFormat="1" ht="23.25" customHeight="1" x14ac:dyDescent="0.2">
      <c r="B100" s="50">
        <v>21</v>
      </c>
      <c r="C100" s="51">
        <f t="shared" si="1"/>
        <v>45159</v>
      </c>
      <c r="D100" s="52"/>
      <c r="E100" s="52"/>
      <c r="F100" s="53"/>
      <c r="G100" s="53"/>
      <c r="H100" s="52"/>
      <c r="I100" s="52"/>
      <c r="J100" s="52"/>
      <c r="K100" s="53"/>
      <c r="L100" s="5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</row>
    <row r="101" spans="2:72" s="1" customFormat="1" ht="23.25" customHeight="1" thickBot="1" x14ac:dyDescent="0.25">
      <c r="B101" s="50">
        <v>22</v>
      </c>
      <c r="C101" s="51">
        <f t="shared" si="1"/>
        <v>45166</v>
      </c>
      <c r="D101" s="52"/>
      <c r="E101" s="52"/>
      <c r="F101" s="53"/>
      <c r="G101" s="53"/>
      <c r="H101" s="52"/>
      <c r="I101" s="52"/>
      <c r="J101" s="52"/>
      <c r="K101" s="53"/>
      <c r="L101" s="54"/>
      <c r="M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</row>
    <row r="102" spans="2:72" s="1" customFormat="1" ht="23.25" customHeight="1" x14ac:dyDescent="0.2">
      <c r="B102" s="50">
        <v>23</v>
      </c>
      <c r="C102" s="51">
        <f t="shared" si="1"/>
        <v>45173</v>
      </c>
      <c r="D102" s="52"/>
      <c r="E102" s="52"/>
      <c r="F102" s="53"/>
      <c r="G102" s="53"/>
      <c r="H102" s="52"/>
      <c r="I102" s="52"/>
      <c r="J102" s="52"/>
      <c r="K102" s="53"/>
      <c r="L102" s="54"/>
      <c r="M102" s="3"/>
      <c r="N102" s="241" t="s">
        <v>67</v>
      </c>
      <c r="O102" s="242"/>
      <c r="P102" s="24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</row>
    <row r="103" spans="2:72" s="1" customFormat="1" ht="23.25" customHeight="1" x14ac:dyDescent="0.2">
      <c r="B103" s="50">
        <v>24</v>
      </c>
      <c r="C103" s="51">
        <f t="shared" si="1"/>
        <v>45180</v>
      </c>
      <c r="D103" s="52"/>
      <c r="E103" s="52"/>
      <c r="F103" s="53"/>
      <c r="G103" s="53"/>
      <c r="H103" s="52"/>
      <c r="I103" s="52"/>
      <c r="J103" s="52"/>
      <c r="K103" s="53"/>
      <c r="L103" s="54"/>
      <c r="M103" s="3"/>
      <c r="N103" s="244" t="s">
        <v>63</v>
      </c>
      <c r="O103" s="245"/>
      <c r="P103" s="55">
        <f>SUM(D94:D106)</f>
        <v>0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</row>
    <row r="104" spans="2:72" s="1" customFormat="1" ht="23.25" customHeight="1" x14ac:dyDescent="0.2">
      <c r="B104" s="50">
        <v>25</v>
      </c>
      <c r="C104" s="51">
        <f t="shared" si="1"/>
        <v>45187</v>
      </c>
      <c r="D104" s="52"/>
      <c r="E104" s="52"/>
      <c r="F104" s="53"/>
      <c r="G104" s="53"/>
      <c r="H104" s="52"/>
      <c r="I104" s="52"/>
      <c r="J104" s="52"/>
      <c r="K104" s="53"/>
      <c r="L104" s="54"/>
      <c r="M104" s="3"/>
      <c r="N104" s="244" t="s">
        <v>64</v>
      </c>
      <c r="O104" s="245"/>
      <c r="P104" s="55">
        <f>SUM(G94:G106)</f>
        <v>0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</row>
    <row r="105" spans="2:72" s="1" customFormat="1" ht="23.25" customHeight="1" x14ac:dyDescent="0.2">
      <c r="B105" s="50">
        <v>26</v>
      </c>
      <c r="C105" s="51">
        <f t="shared" si="1"/>
        <v>45194</v>
      </c>
      <c r="D105" s="52"/>
      <c r="E105" s="52"/>
      <c r="F105" s="53"/>
      <c r="G105" s="53"/>
      <c r="H105" s="52"/>
      <c r="I105" s="52"/>
      <c r="J105" s="52"/>
      <c r="K105" s="53"/>
      <c r="L105" s="54"/>
      <c r="M105" s="3"/>
      <c r="N105" s="244" t="s">
        <v>65</v>
      </c>
      <c r="O105" s="245"/>
      <c r="P105" s="55">
        <f>SUM(J94:J106)</f>
        <v>0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</row>
    <row r="106" spans="2:72" s="1" customFormat="1" ht="23.25" customHeight="1" thickBot="1" x14ac:dyDescent="0.25">
      <c r="B106" s="56">
        <v>27</v>
      </c>
      <c r="C106" s="51">
        <f t="shared" si="1"/>
        <v>45201</v>
      </c>
      <c r="D106" s="57"/>
      <c r="E106" s="57"/>
      <c r="F106" s="58"/>
      <c r="G106" s="58"/>
      <c r="H106" s="57"/>
      <c r="I106" s="57"/>
      <c r="J106" s="57"/>
      <c r="K106" s="58"/>
      <c r="L106" s="59"/>
      <c r="M106" s="3"/>
      <c r="N106" s="246" t="s">
        <v>66</v>
      </c>
      <c r="O106" s="247"/>
      <c r="P106" s="60">
        <f>SUM(L94:L106)</f>
        <v>0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</row>
    <row r="107" spans="2:72" s="1" customFormat="1" ht="23.25" customHeight="1" x14ac:dyDescent="0.2">
      <c r="B107" s="45">
        <v>28</v>
      </c>
      <c r="C107" s="51">
        <f t="shared" si="1"/>
        <v>45208</v>
      </c>
      <c r="D107" s="47"/>
      <c r="E107" s="47"/>
      <c r="F107" s="48"/>
      <c r="G107" s="48"/>
      <c r="H107" s="47"/>
      <c r="I107" s="47"/>
      <c r="J107" s="47"/>
      <c r="K107" s="48"/>
      <c r="L107" s="49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</row>
    <row r="108" spans="2:72" s="1" customFormat="1" ht="23.25" customHeight="1" x14ac:dyDescent="0.2">
      <c r="B108" s="50">
        <v>29</v>
      </c>
      <c r="C108" s="51">
        <f t="shared" si="1"/>
        <v>45215</v>
      </c>
      <c r="D108" s="52"/>
      <c r="E108" s="52"/>
      <c r="F108" s="53"/>
      <c r="G108" s="53"/>
      <c r="H108" s="52"/>
      <c r="I108" s="52"/>
      <c r="J108" s="52"/>
      <c r="K108" s="53"/>
      <c r="L108" s="5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</row>
    <row r="109" spans="2:72" s="1" customFormat="1" ht="23.25" customHeight="1" x14ac:dyDescent="0.2">
      <c r="B109" s="50">
        <v>30</v>
      </c>
      <c r="C109" s="51">
        <f t="shared" si="1"/>
        <v>45222</v>
      </c>
      <c r="D109" s="52"/>
      <c r="E109" s="52"/>
      <c r="F109" s="53"/>
      <c r="G109" s="53"/>
      <c r="H109" s="52"/>
      <c r="I109" s="52"/>
      <c r="J109" s="52"/>
      <c r="K109" s="53"/>
      <c r="L109" s="5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</row>
    <row r="110" spans="2:72" s="1" customFormat="1" ht="23.25" customHeight="1" x14ac:dyDescent="0.2">
      <c r="B110" s="50">
        <v>31</v>
      </c>
      <c r="C110" s="51">
        <f t="shared" si="1"/>
        <v>45229</v>
      </c>
      <c r="D110" s="52"/>
      <c r="E110" s="52"/>
      <c r="F110" s="53"/>
      <c r="G110" s="53"/>
      <c r="H110" s="52"/>
      <c r="I110" s="52"/>
      <c r="J110" s="52"/>
      <c r="K110" s="53"/>
      <c r="L110" s="5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</row>
    <row r="111" spans="2:72" s="1" customFormat="1" ht="23.25" customHeight="1" x14ac:dyDescent="0.2">
      <c r="B111" s="50">
        <v>32</v>
      </c>
      <c r="C111" s="51">
        <f t="shared" si="1"/>
        <v>45236</v>
      </c>
      <c r="D111" s="52"/>
      <c r="E111" s="52"/>
      <c r="F111" s="53"/>
      <c r="G111" s="53"/>
      <c r="H111" s="52"/>
      <c r="I111" s="52"/>
      <c r="J111" s="52"/>
      <c r="K111" s="53"/>
      <c r="L111" s="5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</row>
    <row r="112" spans="2:72" s="1" customFormat="1" ht="23.25" customHeight="1" x14ac:dyDescent="0.2">
      <c r="B112" s="50">
        <v>33</v>
      </c>
      <c r="C112" s="51">
        <f t="shared" si="1"/>
        <v>45243</v>
      </c>
      <c r="D112" s="52"/>
      <c r="E112" s="52"/>
      <c r="F112" s="53"/>
      <c r="G112" s="53"/>
      <c r="H112" s="52"/>
      <c r="I112" s="52"/>
      <c r="J112" s="52"/>
      <c r="K112" s="53"/>
      <c r="L112" s="5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</row>
    <row r="113" spans="2:72" s="1" customFormat="1" ht="23.25" customHeight="1" x14ac:dyDescent="0.2">
      <c r="B113" s="50">
        <v>34</v>
      </c>
      <c r="C113" s="51">
        <f t="shared" si="1"/>
        <v>45250</v>
      </c>
      <c r="D113" s="52"/>
      <c r="E113" s="52"/>
      <c r="F113" s="53"/>
      <c r="G113" s="53"/>
      <c r="H113" s="52"/>
      <c r="I113" s="52"/>
      <c r="J113" s="52"/>
      <c r="K113" s="53"/>
      <c r="L113" s="5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</row>
    <row r="114" spans="2:72" s="1" customFormat="1" ht="23.25" customHeight="1" thickBot="1" x14ac:dyDescent="0.25">
      <c r="B114" s="50">
        <v>35</v>
      </c>
      <c r="C114" s="51">
        <f t="shared" si="1"/>
        <v>45257</v>
      </c>
      <c r="D114" s="52"/>
      <c r="E114" s="52"/>
      <c r="F114" s="53"/>
      <c r="G114" s="53"/>
      <c r="H114" s="52"/>
      <c r="I114" s="52"/>
      <c r="J114" s="52"/>
      <c r="K114" s="53"/>
      <c r="L114" s="5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</row>
    <row r="115" spans="2:72" s="1" customFormat="1" ht="23.25" customHeight="1" x14ac:dyDescent="0.2">
      <c r="B115" s="50">
        <v>36</v>
      </c>
      <c r="C115" s="51">
        <f t="shared" si="1"/>
        <v>45264</v>
      </c>
      <c r="D115" s="52"/>
      <c r="E115" s="52"/>
      <c r="F115" s="53"/>
      <c r="G115" s="53"/>
      <c r="H115" s="52"/>
      <c r="I115" s="52"/>
      <c r="J115" s="52"/>
      <c r="K115" s="53"/>
      <c r="L115" s="54"/>
      <c r="M115" s="3"/>
      <c r="N115" s="241" t="s">
        <v>68</v>
      </c>
      <c r="O115" s="242"/>
      <c r="P115" s="24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</row>
    <row r="116" spans="2:72" s="1" customFormat="1" ht="23.25" customHeight="1" x14ac:dyDescent="0.2">
      <c r="B116" s="50">
        <v>37</v>
      </c>
      <c r="C116" s="51">
        <f t="shared" si="1"/>
        <v>45271</v>
      </c>
      <c r="D116" s="52"/>
      <c r="E116" s="52"/>
      <c r="F116" s="53"/>
      <c r="G116" s="53"/>
      <c r="H116" s="52"/>
      <c r="I116" s="52"/>
      <c r="J116" s="52"/>
      <c r="K116" s="53"/>
      <c r="L116" s="54"/>
      <c r="M116" s="3"/>
      <c r="N116" s="244" t="s">
        <v>63</v>
      </c>
      <c r="O116" s="245"/>
      <c r="P116" s="55">
        <f>SUM(D107:D119)</f>
        <v>0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</row>
    <row r="117" spans="2:72" s="1" customFormat="1" ht="23.25" customHeight="1" x14ac:dyDescent="0.2">
      <c r="B117" s="50">
        <v>38</v>
      </c>
      <c r="C117" s="51">
        <f t="shared" si="1"/>
        <v>45278</v>
      </c>
      <c r="D117" s="52"/>
      <c r="E117" s="52"/>
      <c r="F117" s="53"/>
      <c r="G117" s="53"/>
      <c r="H117" s="52"/>
      <c r="I117" s="52"/>
      <c r="J117" s="52"/>
      <c r="K117" s="53"/>
      <c r="L117" s="54"/>
      <c r="M117" s="3"/>
      <c r="N117" s="251" t="s">
        <v>64</v>
      </c>
      <c r="O117" s="252"/>
      <c r="P117" s="55">
        <f>SUM(G107:G119)</f>
        <v>0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</row>
    <row r="118" spans="2:72" s="1" customFormat="1" ht="23.25" customHeight="1" x14ac:dyDescent="0.2">
      <c r="B118" s="50">
        <v>39</v>
      </c>
      <c r="C118" s="51">
        <f t="shared" si="1"/>
        <v>45285</v>
      </c>
      <c r="D118" s="52"/>
      <c r="E118" s="52"/>
      <c r="F118" s="53"/>
      <c r="G118" s="53"/>
      <c r="H118" s="52"/>
      <c r="I118" s="52"/>
      <c r="J118" s="52"/>
      <c r="K118" s="53"/>
      <c r="L118" s="54"/>
      <c r="M118" s="3"/>
      <c r="N118" s="251" t="s">
        <v>65</v>
      </c>
      <c r="O118" s="252"/>
      <c r="P118" s="55">
        <f>SUM(J107:J119)</f>
        <v>0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</row>
    <row r="119" spans="2:72" s="1" customFormat="1" ht="23.25" customHeight="1" thickBot="1" x14ac:dyDescent="0.25">
      <c r="B119" s="56">
        <v>40</v>
      </c>
      <c r="C119" s="51">
        <f t="shared" si="1"/>
        <v>45292</v>
      </c>
      <c r="D119" s="57"/>
      <c r="E119" s="57"/>
      <c r="F119" s="58"/>
      <c r="G119" s="58"/>
      <c r="H119" s="57"/>
      <c r="I119" s="57"/>
      <c r="J119" s="57"/>
      <c r="K119" s="58"/>
      <c r="L119" s="59"/>
      <c r="M119" s="3"/>
      <c r="N119" s="253" t="s">
        <v>66</v>
      </c>
      <c r="O119" s="254"/>
      <c r="P119" s="60">
        <f>SUM(L107:L119)</f>
        <v>0</v>
      </c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</row>
    <row r="120" spans="2:72" s="1" customFormat="1" ht="23.25" customHeight="1" x14ac:dyDescent="0.2">
      <c r="B120" s="61">
        <v>41</v>
      </c>
      <c r="C120" s="51">
        <f t="shared" si="1"/>
        <v>45299</v>
      </c>
      <c r="D120" s="62"/>
      <c r="E120" s="62"/>
      <c r="F120" s="63"/>
      <c r="G120" s="63"/>
      <c r="H120" s="62"/>
      <c r="I120" s="62"/>
      <c r="J120" s="62"/>
      <c r="K120" s="63"/>
      <c r="L120" s="6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</row>
    <row r="121" spans="2:72" s="1" customFormat="1" ht="23.25" customHeight="1" x14ac:dyDescent="0.2">
      <c r="B121" s="50">
        <v>42</v>
      </c>
      <c r="C121" s="51">
        <f t="shared" si="1"/>
        <v>45306</v>
      </c>
      <c r="D121" s="52"/>
      <c r="E121" s="52"/>
      <c r="F121" s="53"/>
      <c r="G121" s="53"/>
      <c r="H121" s="52"/>
      <c r="I121" s="52"/>
      <c r="J121" s="52"/>
      <c r="K121" s="53"/>
      <c r="L121" s="5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</row>
    <row r="122" spans="2:72" s="1" customFormat="1" ht="23.25" customHeight="1" x14ac:dyDescent="0.2">
      <c r="B122" s="50">
        <v>43</v>
      </c>
      <c r="C122" s="51">
        <f t="shared" si="1"/>
        <v>45313</v>
      </c>
      <c r="D122" s="52"/>
      <c r="E122" s="52"/>
      <c r="F122" s="53"/>
      <c r="G122" s="53"/>
      <c r="H122" s="52"/>
      <c r="I122" s="52"/>
      <c r="J122" s="52"/>
      <c r="K122" s="53"/>
      <c r="L122" s="5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</row>
    <row r="123" spans="2:72" s="1" customFormat="1" ht="23.25" customHeight="1" x14ac:dyDescent="0.2">
      <c r="B123" s="50">
        <v>44</v>
      </c>
      <c r="C123" s="51">
        <f t="shared" si="1"/>
        <v>45320</v>
      </c>
      <c r="D123" s="52"/>
      <c r="E123" s="52"/>
      <c r="F123" s="53"/>
      <c r="G123" s="53"/>
      <c r="H123" s="52"/>
      <c r="I123" s="52"/>
      <c r="J123" s="52"/>
      <c r="K123" s="53"/>
      <c r="L123" s="5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</row>
    <row r="124" spans="2:72" s="1" customFormat="1" ht="23.25" customHeight="1" x14ac:dyDescent="0.2">
      <c r="B124" s="50">
        <v>45</v>
      </c>
      <c r="C124" s="51">
        <f t="shared" si="1"/>
        <v>45327</v>
      </c>
      <c r="D124" s="52"/>
      <c r="E124" s="52"/>
      <c r="F124" s="53"/>
      <c r="G124" s="53"/>
      <c r="H124" s="52"/>
      <c r="I124" s="52"/>
      <c r="J124" s="52"/>
      <c r="K124" s="53"/>
      <c r="L124" s="5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</row>
    <row r="125" spans="2:72" s="1" customFormat="1" ht="23.25" customHeight="1" x14ac:dyDescent="0.2">
      <c r="B125" s="50">
        <v>46</v>
      </c>
      <c r="C125" s="51">
        <f t="shared" si="1"/>
        <v>45334</v>
      </c>
      <c r="D125" s="52"/>
      <c r="E125" s="52"/>
      <c r="F125" s="53"/>
      <c r="G125" s="53"/>
      <c r="H125" s="52"/>
      <c r="I125" s="52"/>
      <c r="J125" s="52"/>
      <c r="K125" s="53"/>
      <c r="L125" s="5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</row>
    <row r="126" spans="2:72" s="1" customFormat="1" ht="23.25" customHeight="1" x14ac:dyDescent="0.2">
      <c r="B126" s="50">
        <v>47</v>
      </c>
      <c r="C126" s="51">
        <f t="shared" si="1"/>
        <v>45341</v>
      </c>
      <c r="D126" s="52"/>
      <c r="E126" s="52"/>
      <c r="F126" s="53"/>
      <c r="G126" s="53"/>
      <c r="H126" s="52"/>
      <c r="I126" s="52"/>
      <c r="J126" s="52"/>
      <c r="K126" s="53"/>
      <c r="L126" s="5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</row>
    <row r="127" spans="2:72" s="1" customFormat="1" ht="23.25" customHeight="1" x14ac:dyDescent="0.2">
      <c r="B127" s="50">
        <v>48</v>
      </c>
      <c r="C127" s="51">
        <f t="shared" si="1"/>
        <v>45348</v>
      </c>
      <c r="D127" s="52"/>
      <c r="E127" s="52"/>
      <c r="F127" s="53"/>
      <c r="G127" s="53"/>
      <c r="H127" s="52"/>
      <c r="I127" s="52"/>
      <c r="J127" s="52"/>
      <c r="K127" s="53"/>
      <c r="L127" s="5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</row>
    <row r="128" spans="2:72" s="1" customFormat="1" ht="23.25" customHeight="1" thickBot="1" x14ac:dyDescent="0.25">
      <c r="B128" s="50">
        <v>49</v>
      </c>
      <c r="C128" s="51">
        <f t="shared" si="1"/>
        <v>45355</v>
      </c>
      <c r="D128" s="52"/>
      <c r="E128" s="52"/>
      <c r="F128" s="53"/>
      <c r="G128" s="53"/>
      <c r="H128" s="52"/>
      <c r="I128" s="52"/>
      <c r="J128" s="52"/>
      <c r="K128" s="53"/>
      <c r="L128" s="5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</row>
    <row r="129" spans="2:72" s="1" customFormat="1" ht="23.25" customHeight="1" x14ac:dyDescent="0.2">
      <c r="B129" s="50">
        <v>50</v>
      </c>
      <c r="C129" s="51">
        <f t="shared" si="1"/>
        <v>45362</v>
      </c>
      <c r="D129" s="52"/>
      <c r="E129" s="52"/>
      <c r="F129" s="53"/>
      <c r="G129" s="53"/>
      <c r="H129" s="52"/>
      <c r="I129" s="52"/>
      <c r="J129" s="52"/>
      <c r="K129" s="53"/>
      <c r="L129" s="54"/>
      <c r="M129" s="3"/>
      <c r="N129" s="241" t="s">
        <v>69</v>
      </c>
      <c r="O129" s="242"/>
      <c r="P129" s="24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</row>
    <row r="130" spans="2:72" s="1" customFormat="1" ht="23.25" customHeight="1" x14ac:dyDescent="0.2">
      <c r="B130" s="50">
        <v>51</v>
      </c>
      <c r="C130" s="51">
        <f t="shared" si="1"/>
        <v>45369</v>
      </c>
      <c r="D130" s="52"/>
      <c r="E130" s="52"/>
      <c r="F130" s="53"/>
      <c r="G130" s="53"/>
      <c r="H130" s="52"/>
      <c r="I130" s="52"/>
      <c r="J130" s="52"/>
      <c r="K130" s="53"/>
      <c r="L130" s="54"/>
      <c r="M130" s="3"/>
      <c r="N130" s="251" t="s">
        <v>70</v>
      </c>
      <c r="O130" s="252"/>
      <c r="P130" s="55">
        <f>SUM(D120:D132)</f>
        <v>0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</row>
    <row r="131" spans="2:72" s="1" customFormat="1" ht="23.25" customHeight="1" x14ac:dyDescent="0.2">
      <c r="B131" s="50">
        <v>52</v>
      </c>
      <c r="C131" s="51">
        <f t="shared" si="1"/>
        <v>45376</v>
      </c>
      <c r="D131" s="52"/>
      <c r="E131" s="52"/>
      <c r="F131" s="53"/>
      <c r="G131" s="53"/>
      <c r="H131" s="52"/>
      <c r="I131" s="52"/>
      <c r="J131" s="52"/>
      <c r="K131" s="53"/>
      <c r="L131" s="54"/>
      <c r="M131" s="3"/>
      <c r="N131" s="251" t="s">
        <v>64</v>
      </c>
      <c r="O131" s="252"/>
      <c r="P131" s="55">
        <f>SUM(G120:G132)</f>
        <v>0</v>
      </c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</row>
    <row r="132" spans="2:72" s="1" customFormat="1" ht="23.25" customHeight="1" x14ac:dyDescent="0.2">
      <c r="B132" s="50">
        <v>53</v>
      </c>
      <c r="C132" s="51"/>
      <c r="D132" s="52"/>
      <c r="E132" s="52"/>
      <c r="F132" s="53"/>
      <c r="G132" s="53"/>
      <c r="H132" s="52"/>
      <c r="I132" s="52"/>
      <c r="J132" s="52"/>
      <c r="K132" s="53"/>
      <c r="L132" s="54"/>
      <c r="M132" s="3"/>
      <c r="N132" s="251" t="s">
        <v>65</v>
      </c>
      <c r="O132" s="252"/>
      <c r="P132" s="55">
        <f>SUM(J120:J132)</f>
        <v>0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</row>
    <row r="133" spans="2:72" s="1" customFormat="1" ht="17" thickBot="1" x14ac:dyDescent="0.25">
      <c r="B133" s="65"/>
      <c r="C133" s="66" t="s">
        <v>71</v>
      </c>
      <c r="D133" s="67" t="s">
        <v>72</v>
      </c>
      <c r="E133" s="67" t="s">
        <v>72</v>
      </c>
      <c r="F133" s="67" t="s">
        <v>72</v>
      </c>
      <c r="G133" s="67" t="s">
        <v>72</v>
      </c>
      <c r="H133" s="67" t="s">
        <v>72</v>
      </c>
      <c r="I133" s="67" t="s">
        <v>72</v>
      </c>
      <c r="J133" s="67" t="s">
        <v>72</v>
      </c>
      <c r="K133" s="67" t="s">
        <v>72</v>
      </c>
      <c r="L133" s="68" t="s">
        <v>72</v>
      </c>
      <c r="M133" s="3"/>
      <c r="N133" s="253" t="s">
        <v>66</v>
      </c>
      <c r="O133" s="254"/>
      <c r="P133" s="60">
        <f>SUM(L120:L132)</f>
        <v>0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</row>
    <row r="134" spans="2:72" s="1" customFormat="1" ht="17" thickBot="1" x14ac:dyDescent="0.25">
      <c r="B134" s="42"/>
      <c r="C134" s="69"/>
      <c r="D134" s="70">
        <f t="shared" ref="D134:L134" si="2">SUM(D80:D132)</f>
        <v>0</v>
      </c>
      <c r="E134" s="70">
        <f t="shared" si="2"/>
        <v>0</v>
      </c>
      <c r="F134" s="70">
        <f t="shared" si="2"/>
        <v>0</v>
      </c>
      <c r="G134" s="70">
        <f t="shared" si="2"/>
        <v>0</v>
      </c>
      <c r="H134" s="70">
        <f t="shared" si="2"/>
        <v>0</v>
      </c>
      <c r="I134" s="70">
        <f t="shared" si="2"/>
        <v>0</v>
      </c>
      <c r="J134" s="70">
        <f t="shared" si="2"/>
        <v>0</v>
      </c>
      <c r="K134" s="70">
        <f t="shared" si="2"/>
        <v>0</v>
      </c>
      <c r="L134" s="71">
        <f t="shared" si="2"/>
        <v>0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</row>
    <row r="135" spans="2:72" s="1" customFormat="1" x14ac:dyDescent="0.2">
      <c r="C135" s="2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</row>
    <row r="136" spans="2:72" s="1" customFormat="1" x14ac:dyDescent="0.2">
      <c r="C136" s="2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</row>
    <row r="137" spans="2:72" s="1" customFormat="1" x14ac:dyDescent="0.2">
      <c r="C137" s="2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</row>
    <row r="138" spans="2:72" s="1" customFormat="1" x14ac:dyDescent="0.2">
      <c r="C138" s="2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</row>
    <row r="139" spans="2:72" s="1" customFormat="1" x14ac:dyDescent="0.2">
      <c r="C139" s="2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</row>
    <row r="140" spans="2:72" s="1" customFormat="1" x14ac:dyDescent="0.2">
      <c r="C140" s="2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</row>
    <row r="141" spans="2:72" s="1" customFormat="1" x14ac:dyDescent="0.2">
      <c r="C141" s="2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</row>
    <row r="142" spans="2:72" s="1" customFormat="1" x14ac:dyDescent="0.2">
      <c r="C142" s="2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</row>
    <row r="143" spans="2:72" s="1" customFormat="1" x14ac:dyDescent="0.2">
      <c r="C143" s="2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</row>
    <row r="144" spans="2:72" s="1" customFormat="1" x14ac:dyDescent="0.2">
      <c r="C144" s="2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</row>
    <row r="145" spans="2:72" s="1" customFormat="1" x14ac:dyDescent="0.2">
      <c r="C145" s="2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</row>
    <row r="146" spans="2:72" s="1" customFormat="1" x14ac:dyDescent="0.2">
      <c r="C146" s="2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</row>
    <row r="147" spans="2:72" s="1" customFormat="1" x14ac:dyDescent="0.2">
      <c r="C147" s="2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</row>
    <row r="148" spans="2:72" x14ac:dyDescent="0.2"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3"/>
    </row>
    <row r="149" spans="2:72" s="3" customFormat="1" x14ac:dyDescent="0.2"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2:72" s="3" customFormat="1" x14ac:dyDescent="0.2"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2:72" s="3" customFormat="1" x14ac:dyDescent="0.2"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2:72" s="3" customFormat="1" x14ac:dyDescent="0.2"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2:72" s="3" customFormat="1" x14ac:dyDescent="0.2"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2:72" s="3" customFormat="1" x14ac:dyDescent="0.2"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2:72" s="3" customFormat="1" x14ac:dyDescent="0.2"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2:72" s="3" customFormat="1" x14ac:dyDescent="0.2"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2:72" s="3" customFormat="1" x14ac:dyDescent="0.2"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2:72" s="3" customFormat="1" x14ac:dyDescent="0.2"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74"/>
    </row>
    <row r="159" spans="2:72" s="3" customFormat="1" x14ac:dyDescent="0.2"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74"/>
    </row>
    <row r="160" spans="2:72" s="3" customFormat="1" x14ac:dyDescent="0.2"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74"/>
    </row>
    <row r="161" spans="2:16" s="3" customFormat="1" x14ac:dyDescent="0.2"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74"/>
    </row>
    <row r="162" spans="2:16" s="3" customFormat="1" x14ac:dyDescent="0.2"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74"/>
    </row>
    <row r="163" spans="2:16" s="3" customFormat="1" x14ac:dyDescent="0.2"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74"/>
    </row>
    <row r="164" spans="2:16" s="3" customFormat="1" x14ac:dyDescent="0.2">
      <c r="B164"/>
      <c r="C164" s="72"/>
      <c r="D164"/>
      <c r="E164"/>
      <c r="F164"/>
      <c r="G164"/>
      <c r="H164"/>
      <c r="I164"/>
      <c r="J164"/>
      <c r="K164"/>
      <c r="L164"/>
      <c r="M164"/>
      <c r="N164"/>
      <c r="O164"/>
      <c r="P164" s="74"/>
    </row>
    <row r="165" spans="2:16" s="3" customFormat="1" x14ac:dyDescent="0.2">
      <c r="C165" s="73"/>
      <c r="P165" s="74"/>
    </row>
    <row r="166" spans="2:16" s="3" customFormat="1" x14ac:dyDescent="0.2">
      <c r="C166" s="73"/>
      <c r="P166" s="74"/>
    </row>
    <row r="167" spans="2:16" s="3" customFormat="1" x14ac:dyDescent="0.2">
      <c r="C167" s="73"/>
      <c r="P167" s="74"/>
    </row>
    <row r="168" spans="2:16" s="3" customFormat="1" x14ac:dyDescent="0.2">
      <c r="C168" s="73"/>
      <c r="P168" s="74"/>
    </row>
    <row r="169" spans="2:16" s="3" customFormat="1" x14ac:dyDescent="0.2">
      <c r="C169" s="73"/>
      <c r="P169" s="74"/>
    </row>
    <row r="170" spans="2:16" s="3" customFormat="1" x14ac:dyDescent="0.2">
      <c r="C170" s="73"/>
      <c r="P170" s="74"/>
    </row>
    <row r="171" spans="2:16" s="3" customFormat="1" x14ac:dyDescent="0.2">
      <c r="C171" s="73"/>
      <c r="P171" s="74"/>
    </row>
    <row r="172" spans="2:16" s="3" customFormat="1" x14ac:dyDescent="0.2">
      <c r="C172" s="73"/>
      <c r="P172" s="74"/>
    </row>
    <row r="173" spans="2:16" s="3" customFormat="1" x14ac:dyDescent="0.2">
      <c r="C173" s="73"/>
      <c r="P173" s="74"/>
    </row>
    <row r="174" spans="2:16" s="3" customFormat="1" x14ac:dyDescent="0.2">
      <c r="C174" s="73"/>
      <c r="P174" s="74"/>
    </row>
    <row r="175" spans="2:16" s="3" customFormat="1" x14ac:dyDescent="0.2">
      <c r="C175" s="73"/>
      <c r="P175" s="74"/>
    </row>
    <row r="176" spans="2:16" s="3" customFormat="1" x14ac:dyDescent="0.2">
      <c r="C176" s="73"/>
      <c r="P176" s="74"/>
    </row>
    <row r="177" spans="3:16" s="3" customFormat="1" x14ac:dyDescent="0.2">
      <c r="C177" s="73"/>
      <c r="P177" s="74"/>
    </row>
    <row r="178" spans="3:16" s="3" customFormat="1" x14ac:dyDescent="0.2">
      <c r="C178" s="73"/>
      <c r="P178" s="74"/>
    </row>
    <row r="179" spans="3:16" s="3" customFormat="1" x14ac:dyDescent="0.2">
      <c r="C179" s="73"/>
      <c r="P179" s="74"/>
    </row>
    <row r="180" spans="3:16" s="3" customFormat="1" x14ac:dyDescent="0.2">
      <c r="C180" s="73"/>
      <c r="P180" s="74"/>
    </row>
    <row r="181" spans="3:16" s="3" customFormat="1" x14ac:dyDescent="0.2">
      <c r="C181" s="73"/>
      <c r="P181" s="74"/>
    </row>
    <row r="182" spans="3:16" s="3" customFormat="1" x14ac:dyDescent="0.2">
      <c r="C182" s="73"/>
      <c r="P182" s="74"/>
    </row>
    <row r="183" spans="3:16" s="3" customFormat="1" x14ac:dyDescent="0.2">
      <c r="C183" s="73"/>
      <c r="P183" s="74"/>
    </row>
    <row r="184" spans="3:16" s="3" customFormat="1" x14ac:dyDescent="0.2">
      <c r="C184" s="73"/>
      <c r="P184" s="74"/>
    </row>
    <row r="185" spans="3:16" s="3" customFormat="1" x14ac:dyDescent="0.2">
      <c r="C185" s="73"/>
      <c r="P185" s="74"/>
    </row>
    <row r="186" spans="3:16" s="3" customFormat="1" x14ac:dyDescent="0.2">
      <c r="C186" s="73"/>
      <c r="P186" s="74"/>
    </row>
    <row r="187" spans="3:16" s="3" customFormat="1" x14ac:dyDescent="0.2">
      <c r="C187" s="73"/>
      <c r="P187" s="74"/>
    </row>
    <row r="188" spans="3:16" s="3" customFormat="1" x14ac:dyDescent="0.2">
      <c r="C188" s="73"/>
      <c r="P188" s="74"/>
    </row>
    <row r="189" spans="3:16" s="3" customFormat="1" x14ac:dyDescent="0.2">
      <c r="C189" s="73"/>
      <c r="P189" s="74"/>
    </row>
    <row r="190" spans="3:16" s="3" customFormat="1" x14ac:dyDescent="0.2">
      <c r="C190" s="73"/>
      <c r="P190" s="74"/>
    </row>
    <row r="191" spans="3:16" s="3" customFormat="1" x14ac:dyDescent="0.2">
      <c r="C191" s="73"/>
      <c r="P191" s="74"/>
    </row>
    <row r="192" spans="3:16" s="3" customFormat="1" x14ac:dyDescent="0.2">
      <c r="C192" s="73"/>
      <c r="P192" s="74"/>
    </row>
    <row r="193" spans="3:16" s="3" customFormat="1" x14ac:dyDescent="0.2">
      <c r="C193" s="73"/>
      <c r="P193" s="74"/>
    </row>
    <row r="194" spans="3:16" s="3" customFormat="1" x14ac:dyDescent="0.2">
      <c r="C194" s="73"/>
      <c r="P194" s="74"/>
    </row>
    <row r="195" spans="3:16" s="3" customFormat="1" x14ac:dyDescent="0.2">
      <c r="C195" s="73"/>
      <c r="P195" s="74"/>
    </row>
    <row r="196" spans="3:16" s="3" customFormat="1" x14ac:dyDescent="0.2">
      <c r="C196" s="73"/>
      <c r="P196" s="74"/>
    </row>
    <row r="197" spans="3:16" s="3" customFormat="1" x14ac:dyDescent="0.2">
      <c r="C197" s="73"/>
      <c r="P197" s="74"/>
    </row>
    <row r="198" spans="3:16" s="3" customFormat="1" x14ac:dyDescent="0.2">
      <c r="C198" s="73"/>
      <c r="P198" s="74"/>
    </row>
    <row r="199" spans="3:16" s="3" customFormat="1" x14ac:dyDescent="0.2">
      <c r="C199" s="73"/>
      <c r="P199" s="74"/>
    </row>
    <row r="200" spans="3:16" s="3" customFormat="1" x14ac:dyDescent="0.2">
      <c r="C200" s="73"/>
      <c r="P200" s="74"/>
    </row>
    <row r="201" spans="3:16" s="3" customFormat="1" x14ac:dyDescent="0.2">
      <c r="C201" s="73"/>
      <c r="P201" s="74"/>
    </row>
    <row r="202" spans="3:16" s="3" customFormat="1" x14ac:dyDescent="0.2">
      <c r="C202" s="73"/>
      <c r="P202" s="74"/>
    </row>
    <row r="203" spans="3:16" s="3" customFormat="1" x14ac:dyDescent="0.2">
      <c r="C203" s="73"/>
      <c r="P203" s="74"/>
    </row>
    <row r="204" spans="3:16" s="3" customFormat="1" x14ac:dyDescent="0.2">
      <c r="C204" s="73"/>
      <c r="P204" s="74"/>
    </row>
    <row r="205" spans="3:16" s="3" customFormat="1" x14ac:dyDescent="0.2">
      <c r="C205" s="73"/>
      <c r="P205" s="74"/>
    </row>
    <row r="206" spans="3:16" s="3" customFormat="1" x14ac:dyDescent="0.2">
      <c r="C206" s="73"/>
      <c r="P206" s="74"/>
    </row>
    <row r="207" spans="3:16" s="3" customFormat="1" x14ac:dyDescent="0.2">
      <c r="C207" s="73"/>
      <c r="P207" s="74"/>
    </row>
    <row r="208" spans="3:16" s="3" customFormat="1" x14ac:dyDescent="0.2">
      <c r="C208" s="73"/>
      <c r="P208" s="74"/>
    </row>
  </sheetData>
  <mergeCells count="280">
    <mergeCell ref="N131:O131"/>
    <mergeCell ref="N132:O132"/>
    <mergeCell ref="N133:O133"/>
    <mergeCell ref="N116:O116"/>
    <mergeCell ref="N117:O117"/>
    <mergeCell ref="N118:O118"/>
    <mergeCell ref="N119:O119"/>
    <mergeCell ref="N129:P129"/>
    <mergeCell ref="N130:O130"/>
    <mergeCell ref="N102:P102"/>
    <mergeCell ref="N103:O103"/>
    <mergeCell ref="N104:O104"/>
    <mergeCell ref="N105:O105"/>
    <mergeCell ref="N106:O106"/>
    <mergeCell ref="N115:P115"/>
    <mergeCell ref="C77:E77"/>
    <mergeCell ref="N89:P89"/>
    <mergeCell ref="N90:O90"/>
    <mergeCell ref="N91:O91"/>
    <mergeCell ref="N92:O92"/>
    <mergeCell ref="N93:O93"/>
    <mergeCell ref="C72:E72"/>
    <mergeCell ref="H72:J72"/>
    <mergeCell ref="K72:M72"/>
    <mergeCell ref="R72:T72"/>
    <mergeCell ref="J73:L73"/>
    <mergeCell ref="Q73:S73"/>
    <mergeCell ref="C70:E70"/>
    <mergeCell ref="H70:J70"/>
    <mergeCell ref="K70:M70"/>
    <mergeCell ref="R70:T70"/>
    <mergeCell ref="C71:E71"/>
    <mergeCell ref="H71:J71"/>
    <mergeCell ref="K71:M71"/>
    <mergeCell ref="R71:T71"/>
    <mergeCell ref="C68:E68"/>
    <mergeCell ref="H68:J68"/>
    <mergeCell ref="K68:M68"/>
    <mergeCell ref="R68:T68"/>
    <mergeCell ref="C69:E69"/>
    <mergeCell ref="H69:J69"/>
    <mergeCell ref="K69:M69"/>
    <mergeCell ref="R69:T69"/>
    <mergeCell ref="H66:J66"/>
    <mergeCell ref="K66:M66"/>
    <mergeCell ref="R66:T66"/>
    <mergeCell ref="C67:E67"/>
    <mergeCell ref="H67:J67"/>
    <mergeCell ref="K67:M67"/>
    <mergeCell ref="R67:T67"/>
    <mergeCell ref="H64:J64"/>
    <mergeCell ref="K64:M64"/>
    <mergeCell ref="R64:T64"/>
    <mergeCell ref="H65:J65"/>
    <mergeCell ref="K65:M65"/>
    <mergeCell ref="R65:T65"/>
    <mergeCell ref="C62:E62"/>
    <mergeCell ref="H62:J62"/>
    <mergeCell ref="K62:M62"/>
    <mergeCell ref="R62:T62"/>
    <mergeCell ref="C63:E63"/>
    <mergeCell ref="H63:J63"/>
    <mergeCell ref="K63:M63"/>
    <mergeCell ref="R63:T63"/>
    <mergeCell ref="C60:E60"/>
    <mergeCell ref="H60:J60"/>
    <mergeCell ref="K60:M60"/>
    <mergeCell ref="R60:T60"/>
    <mergeCell ref="C61:E61"/>
    <mergeCell ref="H61:J61"/>
    <mergeCell ref="K61:M61"/>
    <mergeCell ref="R61:T61"/>
    <mergeCell ref="C58:E58"/>
    <mergeCell ref="H58:J58"/>
    <mergeCell ref="K58:M58"/>
    <mergeCell ref="R58:T58"/>
    <mergeCell ref="C59:E59"/>
    <mergeCell ref="H59:J59"/>
    <mergeCell ref="K59:M59"/>
    <mergeCell ref="R59:T59"/>
    <mergeCell ref="C56:E56"/>
    <mergeCell ref="H56:J56"/>
    <mergeCell ref="K56:M56"/>
    <mergeCell ref="R56:T56"/>
    <mergeCell ref="C57:E57"/>
    <mergeCell ref="H57:J57"/>
    <mergeCell ref="K57:M57"/>
    <mergeCell ref="R57:T57"/>
    <mergeCell ref="C54:E54"/>
    <mergeCell ref="H54:J54"/>
    <mergeCell ref="K54:M54"/>
    <mergeCell ref="R54:T54"/>
    <mergeCell ref="C55:E55"/>
    <mergeCell ref="H55:J55"/>
    <mergeCell ref="K55:M55"/>
    <mergeCell ref="R55:T55"/>
    <mergeCell ref="C52:E52"/>
    <mergeCell ref="H52:J52"/>
    <mergeCell ref="K52:M52"/>
    <mergeCell ref="R52:T52"/>
    <mergeCell ref="C53:E53"/>
    <mergeCell ref="H53:J53"/>
    <mergeCell ref="K53:M53"/>
    <mergeCell ref="R53:T53"/>
    <mergeCell ref="C50:E50"/>
    <mergeCell ref="H50:J50"/>
    <mergeCell ref="K50:M50"/>
    <mergeCell ref="R50:T50"/>
    <mergeCell ref="C51:E51"/>
    <mergeCell ref="H51:J51"/>
    <mergeCell ref="K51:M51"/>
    <mergeCell ref="R51:T51"/>
    <mergeCell ref="C48:E48"/>
    <mergeCell ref="H48:J48"/>
    <mergeCell ref="K48:M48"/>
    <mergeCell ref="R48:T48"/>
    <mergeCell ref="C49:E49"/>
    <mergeCell ref="H49:J49"/>
    <mergeCell ref="K49:M49"/>
    <mergeCell ref="R49:T49"/>
    <mergeCell ref="C46:E46"/>
    <mergeCell ref="H46:J46"/>
    <mergeCell ref="K46:M46"/>
    <mergeCell ref="R46:T46"/>
    <mergeCell ref="C47:E47"/>
    <mergeCell ref="H47:J47"/>
    <mergeCell ref="K47:M47"/>
    <mergeCell ref="R47:T47"/>
    <mergeCell ref="C44:E44"/>
    <mergeCell ref="K44:M44"/>
    <mergeCell ref="R44:T44"/>
    <mergeCell ref="C45:E45"/>
    <mergeCell ref="H45:J45"/>
    <mergeCell ref="K45:M45"/>
    <mergeCell ref="R45:T45"/>
    <mergeCell ref="C42:E42"/>
    <mergeCell ref="K42:M42"/>
    <mergeCell ref="R42:T42"/>
    <mergeCell ref="C43:E43"/>
    <mergeCell ref="K43:M43"/>
    <mergeCell ref="R43:T43"/>
    <mergeCell ref="C40:E40"/>
    <mergeCell ref="H40:J40"/>
    <mergeCell ref="K40:M40"/>
    <mergeCell ref="R40:T40"/>
    <mergeCell ref="C41:E41"/>
    <mergeCell ref="K41:M41"/>
    <mergeCell ref="R41:T41"/>
    <mergeCell ref="C38:E38"/>
    <mergeCell ref="H38:J38"/>
    <mergeCell ref="K38:M38"/>
    <mergeCell ref="R38:T38"/>
    <mergeCell ref="C39:E39"/>
    <mergeCell ref="H39:J39"/>
    <mergeCell ref="K39:M39"/>
    <mergeCell ref="R39:T39"/>
    <mergeCell ref="C36:E36"/>
    <mergeCell ref="H36:J36"/>
    <mergeCell ref="K36:M36"/>
    <mergeCell ref="R36:T36"/>
    <mergeCell ref="C37:E37"/>
    <mergeCell ref="H37:J37"/>
    <mergeCell ref="K37:M37"/>
    <mergeCell ref="R37:T37"/>
    <mergeCell ref="C34:E34"/>
    <mergeCell ref="H34:J34"/>
    <mergeCell ref="K34:M34"/>
    <mergeCell ref="R34:T34"/>
    <mergeCell ref="C35:E35"/>
    <mergeCell ref="H35:J35"/>
    <mergeCell ref="K35:M35"/>
    <mergeCell ref="R35:T35"/>
    <mergeCell ref="C32:E32"/>
    <mergeCell ref="H32:J32"/>
    <mergeCell ref="K32:M32"/>
    <mergeCell ref="R32:T32"/>
    <mergeCell ref="C33:E33"/>
    <mergeCell ref="H33:J33"/>
    <mergeCell ref="K33:M33"/>
    <mergeCell ref="R33:T33"/>
    <mergeCell ref="C30:E30"/>
    <mergeCell ref="H30:J30"/>
    <mergeCell ref="K30:M30"/>
    <mergeCell ref="R30:T30"/>
    <mergeCell ref="C31:E31"/>
    <mergeCell ref="H31:J31"/>
    <mergeCell ref="K31:M31"/>
    <mergeCell ref="R31:T31"/>
    <mergeCell ref="C28:E28"/>
    <mergeCell ref="H28:J28"/>
    <mergeCell ref="K28:M28"/>
    <mergeCell ref="R28:T28"/>
    <mergeCell ref="C29:E29"/>
    <mergeCell ref="H29:J29"/>
    <mergeCell ref="K29:M29"/>
    <mergeCell ref="R29:T29"/>
    <mergeCell ref="C26:E26"/>
    <mergeCell ref="H26:J26"/>
    <mergeCell ref="K26:M26"/>
    <mergeCell ref="R26:T26"/>
    <mergeCell ref="C27:E27"/>
    <mergeCell ref="H27:J27"/>
    <mergeCell ref="K27:M27"/>
    <mergeCell ref="R27:T27"/>
    <mergeCell ref="B23:C23"/>
    <mergeCell ref="D23:K23"/>
    <mergeCell ref="P23:Q23"/>
    <mergeCell ref="S23:T23"/>
    <mergeCell ref="B25:C25"/>
    <mergeCell ref="D25:T25"/>
    <mergeCell ref="B20:C20"/>
    <mergeCell ref="D20:K20"/>
    <mergeCell ref="B21:C21"/>
    <mergeCell ref="D21:K21"/>
    <mergeCell ref="B22:C22"/>
    <mergeCell ref="D22:K22"/>
    <mergeCell ref="B18:C18"/>
    <mergeCell ref="D18:K18"/>
    <mergeCell ref="P18:Q18"/>
    <mergeCell ref="S18:T18"/>
    <mergeCell ref="B19:C19"/>
    <mergeCell ref="D19:K19"/>
    <mergeCell ref="P19:Q19"/>
    <mergeCell ref="S19:T19"/>
    <mergeCell ref="B16:C16"/>
    <mergeCell ref="D16:K16"/>
    <mergeCell ref="P16:Q16"/>
    <mergeCell ref="S16:T16"/>
    <mergeCell ref="B17:C17"/>
    <mergeCell ref="D17:K17"/>
    <mergeCell ref="P17:Q17"/>
    <mergeCell ref="S17:T17"/>
    <mergeCell ref="B14:C14"/>
    <mergeCell ref="D14:K14"/>
    <mergeCell ref="P14:Q14"/>
    <mergeCell ref="S14:T14"/>
    <mergeCell ref="B15:C15"/>
    <mergeCell ref="D15:K15"/>
    <mergeCell ref="P15:Q15"/>
    <mergeCell ref="S15:T15"/>
    <mergeCell ref="B12:C12"/>
    <mergeCell ref="D12:K12"/>
    <mergeCell ref="P12:Q12"/>
    <mergeCell ref="S12:T12"/>
    <mergeCell ref="B13:C13"/>
    <mergeCell ref="D13:K13"/>
    <mergeCell ref="P13:Q13"/>
    <mergeCell ref="S13:T13"/>
    <mergeCell ref="P10:Q10"/>
    <mergeCell ref="S10:T10"/>
    <mergeCell ref="B11:C11"/>
    <mergeCell ref="D11:K11"/>
    <mergeCell ref="P11:Q11"/>
    <mergeCell ref="S11:T11"/>
    <mergeCell ref="B8:C8"/>
    <mergeCell ref="D8:M8"/>
    <mergeCell ref="P8:Q8"/>
    <mergeCell ref="S8:T8"/>
    <mergeCell ref="B9:C10"/>
    <mergeCell ref="D9:K10"/>
    <mergeCell ref="L9:L10"/>
    <mergeCell ref="M9:M10"/>
    <mergeCell ref="P9:Q9"/>
    <mergeCell ref="S9:T9"/>
    <mergeCell ref="P4:Q4"/>
    <mergeCell ref="B5:E6"/>
    <mergeCell ref="F5:G6"/>
    <mergeCell ref="H5:K6"/>
    <mergeCell ref="L5:M6"/>
    <mergeCell ref="P6:Q6"/>
    <mergeCell ref="B2:C2"/>
    <mergeCell ref="D2:E2"/>
    <mergeCell ref="F2:G2"/>
    <mergeCell ref="H2:M2"/>
    <mergeCell ref="P2:Q2"/>
    <mergeCell ref="B3:E4"/>
    <mergeCell ref="F3:G4"/>
    <mergeCell ref="H3:K4"/>
    <mergeCell ref="L3:M4"/>
    <mergeCell ref="P3:Q3"/>
  </mergeCells>
  <conditionalFormatting sqref="L5:M6">
    <cfRule type="cellIs" dxfId="5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ED30E-91C6-6A46-90FD-B429D81A6C0A}">
  <dimension ref="A1:BU208"/>
  <sheetViews>
    <sheetView zoomScaleNormal="100" workbookViewId="0">
      <selection activeCell="D19" sqref="D19:K19"/>
    </sheetView>
  </sheetViews>
  <sheetFormatPr baseColWidth="10" defaultColWidth="8.6640625" defaultRowHeight="15" x14ac:dyDescent="0.2"/>
  <cols>
    <col min="1" max="1" width="4.5" style="1" customWidth="1"/>
    <col min="2" max="2" width="15.6640625" bestFit="1" customWidth="1"/>
    <col min="3" max="3" width="33" style="72" bestFit="1" customWidth="1"/>
    <col min="4" max="4" width="12.1640625" customWidth="1"/>
    <col min="5" max="5" width="28" customWidth="1"/>
    <col min="6" max="6" width="12.5" bestFit="1" customWidth="1"/>
    <col min="7" max="7" width="10.6640625" bestFit="1" customWidth="1"/>
    <col min="8" max="8" width="18.5" customWidth="1"/>
    <col min="9" max="9" width="59.5" customWidth="1"/>
    <col min="10" max="10" width="13.6640625" customWidth="1"/>
    <col min="11" max="11" width="14" customWidth="1"/>
    <col min="12" max="12" width="14.6640625" customWidth="1"/>
    <col min="13" max="13" width="13.6640625" customWidth="1"/>
    <col min="14" max="14" width="11" customWidth="1"/>
    <col min="15" max="15" width="13.5" bestFit="1" customWidth="1"/>
    <col min="16" max="16" width="11" style="74" customWidth="1"/>
    <col min="17" max="17" width="20.5" style="3" customWidth="1"/>
    <col min="18" max="18" width="5.5" style="3" customWidth="1"/>
    <col min="19" max="19" width="19.5" style="3" customWidth="1"/>
    <col min="20" max="22" width="27.5" style="3" customWidth="1"/>
    <col min="23" max="23" width="40.5" style="3" bestFit="1" customWidth="1"/>
    <col min="24" max="24" width="29" style="3" customWidth="1"/>
    <col min="25" max="72" width="8.6640625" style="3"/>
  </cols>
  <sheetData>
    <row r="1" spans="2:72" s="1" customFormat="1" ht="15" customHeight="1" thickBot="1" x14ac:dyDescent="0.25">
      <c r="C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2:72" ht="46.5" customHeight="1" x14ac:dyDescent="0.2">
      <c r="B2" s="155" t="s">
        <v>0</v>
      </c>
      <c r="C2" s="155"/>
      <c r="D2" s="156" t="s">
        <v>1</v>
      </c>
      <c r="E2" s="156"/>
      <c r="F2" s="157"/>
      <c r="G2" s="157"/>
      <c r="H2" s="156" t="s">
        <v>2</v>
      </c>
      <c r="I2" s="156"/>
      <c r="J2" s="156"/>
      <c r="K2" s="156"/>
      <c r="L2" s="156"/>
      <c r="M2" s="156"/>
      <c r="N2" s="3"/>
      <c r="O2" s="4" t="s">
        <v>3</v>
      </c>
      <c r="P2" s="158" t="s">
        <v>4</v>
      </c>
      <c r="Q2" s="158"/>
    </row>
    <row r="3" spans="2:72" ht="24.75" customHeight="1" x14ac:dyDescent="0.2">
      <c r="B3" s="149" t="s">
        <v>73</v>
      </c>
      <c r="C3" s="149"/>
      <c r="D3" s="149"/>
      <c r="E3" s="149"/>
      <c r="F3" s="159">
        <v>2300000</v>
      </c>
      <c r="G3" s="159"/>
      <c r="H3" s="152" t="s">
        <v>6</v>
      </c>
      <c r="I3" s="152"/>
      <c r="J3" s="152"/>
      <c r="K3" s="152"/>
      <c r="L3" s="159">
        <v>4000000</v>
      </c>
      <c r="M3" s="159"/>
      <c r="N3" s="5"/>
      <c r="O3" s="6" t="s">
        <v>7</v>
      </c>
      <c r="P3" s="148"/>
      <c r="Q3" s="148"/>
    </row>
    <row r="4" spans="2:72" ht="21" customHeight="1" x14ac:dyDescent="0.2">
      <c r="B4" s="149"/>
      <c r="C4" s="149"/>
      <c r="D4" s="149"/>
      <c r="E4" s="149"/>
      <c r="F4" s="159"/>
      <c r="G4" s="159"/>
      <c r="H4" s="152"/>
      <c r="I4" s="152"/>
      <c r="J4" s="152"/>
      <c r="K4" s="152"/>
      <c r="L4" s="159"/>
      <c r="M4" s="159"/>
      <c r="N4" s="3"/>
      <c r="O4" s="6" t="s">
        <v>8</v>
      </c>
      <c r="P4" s="148"/>
      <c r="Q4" s="148"/>
    </row>
    <row r="5" spans="2:72" ht="21" customHeight="1" x14ac:dyDescent="0.2">
      <c r="B5" s="149" t="s">
        <v>74</v>
      </c>
      <c r="C5" s="149"/>
      <c r="D5" s="149"/>
      <c r="E5" s="149"/>
      <c r="F5" s="150">
        <f>SUM(T27:T73)</f>
        <v>0</v>
      </c>
      <c r="G5" s="150"/>
      <c r="H5" s="151" t="s">
        <v>10</v>
      </c>
      <c r="I5" s="152"/>
      <c r="J5" s="152"/>
      <c r="K5" s="152"/>
      <c r="L5" s="153">
        <f>SUM(L3-F3)</f>
        <v>1700000</v>
      </c>
      <c r="M5" s="153"/>
      <c r="N5" s="3"/>
      <c r="O5" s="7" t="s">
        <v>11</v>
      </c>
      <c r="P5" s="8"/>
      <c r="Q5" s="9"/>
    </row>
    <row r="6" spans="2:72" ht="21" customHeight="1" thickBot="1" x14ac:dyDescent="0.25">
      <c r="B6" s="149"/>
      <c r="C6" s="149"/>
      <c r="D6" s="149"/>
      <c r="E6" s="149"/>
      <c r="F6" s="150"/>
      <c r="G6" s="150"/>
      <c r="H6" s="152"/>
      <c r="I6" s="152"/>
      <c r="J6" s="152"/>
      <c r="K6" s="152"/>
      <c r="L6" s="153"/>
      <c r="M6" s="153"/>
      <c r="N6" s="3"/>
      <c r="O6" s="10" t="s">
        <v>12</v>
      </c>
      <c r="P6" s="154"/>
      <c r="Q6" s="154"/>
    </row>
    <row r="7" spans="2:72" s="1" customFormat="1" ht="9" customHeight="1" thickBot="1" x14ac:dyDescent="0.25">
      <c r="C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2:72" s="1" customFormat="1" ht="46.5" customHeight="1" x14ac:dyDescent="0.2">
      <c r="B8" s="155" t="s">
        <v>13</v>
      </c>
      <c r="C8" s="155"/>
      <c r="D8" s="156" t="s">
        <v>14</v>
      </c>
      <c r="E8" s="156"/>
      <c r="F8" s="156"/>
      <c r="G8" s="156"/>
      <c r="H8" s="156"/>
      <c r="I8" s="156"/>
      <c r="J8" s="156"/>
      <c r="K8" s="156"/>
      <c r="L8" s="156"/>
      <c r="M8" s="156"/>
      <c r="N8" s="3"/>
      <c r="O8" s="4" t="s">
        <v>15</v>
      </c>
      <c r="P8" s="158" t="s">
        <v>16</v>
      </c>
      <c r="Q8" s="158"/>
      <c r="R8" s="3"/>
      <c r="S8" s="164" t="s">
        <v>17</v>
      </c>
      <c r="T8" s="164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</row>
    <row r="9" spans="2:72" s="1" customFormat="1" ht="17.25" customHeight="1" x14ac:dyDescent="0.2">
      <c r="B9" s="165" t="s">
        <v>18</v>
      </c>
      <c r="C9" s="165"/>
      <c r="D9" s="166" t="s">
        <v>19</v>
      </c>
      <c r="E9" s="166"/>
      <c r="F9" s="166"/>
      <c r="G9" s="166"/>
      <c r="H9" s="166"/>
      <c r="I9" s="166"/>
      <c r="J9" s="166"/>
      <c r="K9" s="166"/>
      <c r="L9" s="167" t="s">
        <v>20</v>
      </c>
      <c r="M9" s="168" t="s">
        <v>21</v>
      </c>
      <c r="N9" s="3"/>
      <c r="O9" s="6" t="s">
        <v>22</v>
      </c>
      <c r="P9" s="148"/>
      <c r="Q9" s="148"/>
      <c r="R9" s="3"/>
      <c r="S9" s="160">
        <v>1</v>
      </c>
      <c r="T9" s="160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</row>
    <row r="10" spans="2:72" s="1" customFormat="1" ht="17.25" customHeight="1" x14ac:dyDescent="0.2">
      <c r="B10" s="165"/>
      <c r="C10" s="165"/>
      <c r="D10" s="166"/>
      <c r="E10" s="166"/>
      <c r="F10" s="166"/>
      <c r="G10" s="166"/>
      <c r="H10" s="166"/>
      <c r="I10" s="166"/>
      <c r="J10" s="166"/>
      <c r="K10" s="166"/>
      <c r="L10" s="167"/>
      <c r="M10" s="168"/>
      <c r="N10" s="3"/>
      <c r="O10" s="6" t="s">
        <v>23</v>
      </c>
      <c r="P10" s="148"/>
      <c r="Q10" s="148"/>
      <c r="R10" s="3"/>
      <c r="S10" s="160">
        <v>2</v>
      </c>
      <c r="T10" s="160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</row>
    <row r="11" spans="2:72" s="1" customFormat="1" ht="17.25" customHeight="1" x14ac:dyDescent="0.2">
      <c r="B11" s="161">
        <v>1</v>
      </c>
      <c r="C11" s="161"/>
      <c r="D11" s="162" t="s">
        <v>198</v>
      </c>
      <c r="E11" s="163"/>
      <c r="F11" s="163"/>
      <c r="G11" s="163"/>
      <c r="H11" s="163"/>
      <c r="I11" s="163"/>
      <c r="J11" s="163"/>
      <c r="K11" s="163"/>
      <c r="L11" s="11" t="s">
        <v>201</v>
      </c>
      <c r="M11" s="12">
        <v>1000000</v>
      </c>
      <c r="N11" s="3"/>
      <c r="O11" s="6" t="s">
        <v>24</v>
      </c>
      <c r="P11" s="148"/>
      <c r="Q11" s="148"/>
      <c r="R11" s="3"/>
      <c r="S11" s="160">
        <v>3</v>
      </c>
      <c r="T11" s="160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</row>
    <row r="12" spans="2:72" s="1" customFormat="1" ht="17.25" customHeight="1" x14ac:dyDescent="0.2">
      <c r="B12" s="174">
        <v>2</v>
      </c>
      <c r="C12" s="174"/>
      <c r="D12" s="162" t="s">
        <v>198</v>
      </c>
      <c r="E12" s="163"/>
      <c r="F12" s="163"/>
      <c r="G12" s="163"/>
      <c r="H12" s="163"/>
      <c r="I12" s="163"/>
      <c r="J12" s="163"/>
      <c r="K12" s="163"/>
      <c r="L12" s="120"/>
      <c r="M12" s="123"/>
      <c r="N12" s="3"/>
      <c r="O12" s="6" t="s">
        <v>25</v>
      </c>
      <c r="P12" s="148"/>
      <c r="Q12" s="148"/>
      <c r="R12" s="3"/>
      <c r="S12" s="160">
        <v>4</v>
      </c>
      <c r="T12" s="160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</row>
    <row r="13" spans="2:72" s="1" customFormat="1" ht="17.25" customHeight="1" x14ac:dyDescent="0.2">
      <c r="B13" s="175">
        <f t="shared" ref="B13:B19" si="0">B12+1</f>
        <v>3</v>
      </c>
      <c r="C13" s="175"/>
      <c r="D13" s="170" t="s">
        <v>199</v>
      </c>
      <c r="E13" s="170"/>
      <c r="F13" s="170"/>
      <c r="G13" s="170"/>
      <c r="H13" s="170"/>
      <c r="I13" s="170"/>
      <c r="J13" s="170"/>
      <c r="K13" s="170"/>
      <c r="L13" s="11"/>
      <c r="M13" s="12"/>
      <c r="N13" s="3"/>
      <c r="O13" s="6" t="s">
        <v>26</v>
      </c>
      <c r="P13" s="148"/>
      <c r="Q13" s="148"/>
      <c r="R13" s="3"/>
      <c r="S13" s="160">
        <v>5</v>
      </c>
      <c r="T13" s="160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</row>
    <row r="14" spans="2:72" s="1" customFormat="1" ht="17.25" customHeight="1" x14ac:dyDescent="0.2">
      <c r="B14" s="169">
        <f t="shared" si="0"/>
        <v>4</v>
      </c>
      <c r="C14" s="169"/>
      <c r="D14" s="162" t="s">
        <v>198</v>
      </c>
      <c r="E14" s="163"/>
      <c r="F14" s="163"/>
      <c r="G14" s="163"/>
      <c r="H14" s="163"/>
      <c r="I14" s="163"/>
      <c r="J14" s="163"/>
      <c r="K14" s="163"/>
      <c r="L14" s="11" t="s">
        <v>200</v>
      </c>
      <c r="M14" s="12">
        <v>1000000</v>
      </c>
      <c r="N14" s="3"/>
      <c r="O14" s="6" t="s">
        <v>27</v>
      </c>
      <c r="P14" s="171"/>
      <c r="Q14" s="172"/>
      <c r="R14" s="3"/>
      <c r="S14" s="160">
        <v>6</v>
      </c>
      <c r="T14" s="160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</row>
    <row r="15" spans="2:72" s="1" customFormat="1" ht="17.25" customHeight="1" x14ac:dyDescent="0.2">
      <c r="B15" s="173">
        <f t="shared" si="0"/>
        <v>5</v>
      </c>
      <c r="C15" s="173"/>
      <c r="D15" s="162" t="s">
        <v>198</v>
      </c>
      <c r="E15" s="163"/>
      <c r="F15" s="163"/>
      <c r="G15" s="163"/>
      <c r="H15" s="163"/>
      <c r="I15" s="163"/>
      <c r="J15" s="163"/>
      <c r="K15" s="163"/>
      <c r="L15" s="11"/>
      <c r="M15" s="12"/>
      <c r="N15" s="3"/>
      <c r="O15" s="6" t="s">
        <v>28</v>
      </c>
      <c r="P15" s="148"/>
      <c r="Q15" s="148"/>
      <c r="R15" s="3"/>
      <c r="S15" s="160">
        <v>7</v>
      </c>
      <c r="T15" s="160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spans="2:72" s="1" customFormat="1" ht="17.25" customHeight="1" x14ac:dyDescent="0.2">
      <c r="B16" s="180">
        <f t="shared" si="0"/>
        <v>6</v>
      </c>
      <c r="C16" s="180"/>
      <c r="D16" s="181"/>
      <c r="E16" s="170"/>
      <c r="F16" s="170"/>
      <c r="G16" s="170"/>
      <c r="H16" s="170"/>
      <c r="I16" s="170"/>
      <c r="J16" s="170"/>
      <c r="K16" s="170"/>
      <c r="L16" s="11"/>
      <c r="M16" s="12"/>
      <c r="N16" s="3"/>
      <c r="O16" s="6" t="s">
        <v>29</v>
      </c>
      <c r="P16" s="148"/>
      <c r="Q16" s="148"/>
      <c r="R16" s="3"/>
      <c r="S16" s="160">
        <v>8</v>
      </c>
      <c r="T16" s="160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</row>
    <row r="17" spans="1:73" s="1" customFormat="1" ht="17.25" customHeight="1" x14ac:dyDescent="0.2">
      <c r="B17" s="182">
        <f t="shared" si="0"/>
        <v>7</v>
      </c>
      <c r="C17" s="182"/>
      <c r="D17" s="170"/>
      <c r="E17" s="177"/>
      <c r="F17" s="177"/>
      <c r="G17" s="177"/>
      <c r="H17" s="177"/>
      <c r="I17" s="177"/>
      <c r="J17" s="177"/>
      <c r="K17" s="178"/>
      <c r="L17" s="11"/>
      <c r="M17" s="12"/>
      <c r="N17" s="3"/>
      <c r="O17" s="6" t="s">
        <v>30</v>
      </c>
      <c r="P17" s="148"/>
      <c r="Q17" s="148"/>
      <c r="R17" s="3"/>
      <c r="S17" s="160">
        <v>9</v>
      </c>
      <c r="T17" s="160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</row>
    <row r="18" spans="1:73" s="1" customFormat="1" ht="17.25" customHeight="1" x14ac:dyDescent="0.2">
      <c r="B18" s="176">
        <f t="shared" si="0"/>
        <v>8</v>
      </c>
      <c r="C18" s="176"/>
      <c r="D18" s="170"/>
      <c r="E18" s="177"/>
      <c r="F18" s="177"/>
      <c r="G18" s="177"/>
      <c r="H18" s="177"/>
      <c r="I18" s="177"/>
      <c r="J18" s="177"/>
      <c r="K18" s="178"/>
      <c r="L18" s="13"/>
      <c r="M18" s="12"/>
      <c r="N18" s="3"/>
      <c r="O18" s="6" t="s">
        <v>31</v>
      </c>
      <c r="P18" s="148"/>
      <c r="Q18" s="148"/>
      <c r="R18" s="3"/>
      <c r="S18" s="160">
        <v>10</v>
      </c>
      <c r="T18" s="160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</row>
    <row r="19" spans="1:73" s="1" customFormat="1" ht="17.25" customHeight="1" x14ac:dyDescent="0.2">
      <c r="B19" s="179">
        <f t="shared" si="0"/>
        <v>9</v>
      </c>
      <c r="C19" s="179"/>
      <c r="D19" s="170"/>
      <c r="E19" s="170"/>
      <c r="F19" s="170"/>
      <c r="G19" s="170"/>
      <c r="H19" s="170"/>
      <c r="I19" s="170"/>
      <c r="J19" s="170"/>
      <c r="K19" s="170"/>
      <c r="L19" s="11"/>
      <c r="M19" s="12"/>
      <c r="N19" s="3"/>
      <c r="O19" s="6" t="s">
        <v>32</v>
      </c>
      <c r="P19" s="148"/>
      <c r="Q19" s="148"/>
      <c r="R19" s="3"/>
      <c r="S19" s="160">
        <v>11</v>
      </c>
      <c r="T19" s="160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</row>
    <row r="20" spans="1:73" s="1" customFormat="1" ht="17.25" customHeight="1" x14ac:dyDescent="0.2">
      <c r="B20" s="189">
        <v>10</v>
      </c>
      <c r="C20" s="189"/>
      <c r="D20" s="170"/>
      <c r="E20" s="170"/>
      <c r="F20" s="170"/>
      <c r="G20" s="170"/>
      <c r="H20" s="170"/>
      <c r="I20" s="170"/>
      <c r="J20" s="170"/>
      <c r="K20" s="170"/>
      <c r="L20" s="14"/>
      <c r="M20" s="15"/>
      <c r="N20" s="3"/>
      <c r="O20" s="7"/>
      <c r="P20" s="8"/>
      <c r="Q20" s="9"/>
      <c r="R20" s="3"/>
      <c r="S20" s="16"/>
      <c r="T20" s="17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</row>
    <row r="21" spans="1:73" s="1" customFormat="1" ht="17.25" customHeight="1" x14ac:dyDescent="0.2">
      <c r="B21" s="190">
        <v>11</v>
      </c>
      <c r="C21" s="190"/>
      <c r="D21" s="170"/>
      <c r="E21" s="170"/>
      <c r="F21" s="170"/>
      <c r="G21" s="170"/>
      <c r="H21" s="170"/>
      <c r="I21" s="170"/>
      <c r="J21" s="170"/>
      <c r="K21" s="170"/>
      <c r="L21" s="14"/>
      <c r="M21" s="15"/>
      <c r="N21" s="3"/>
      <c r="O21" s="7"/>
      <c r="P21" s="8"/>
      <c r="Q21" s="9"/>
      <c r="R21" s="3"/>
      <c r="S21" s="16"/>
      <c r="T21" s="17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</row>
    <row r="22" spans="1:73" s="1" customFormat="1" ht="17.25" customHeight="1" x14ac:dyDescent="0.2">
      <c r="B22" s="191">
        <v>12</v>
      </c>
      <c r="C22" s="191"/>
      <c r="D22" s="170"/>
      <c r="E22" s="170"/>
      <c r="F22" s="170"/>
      <c r="G22" s="170"/>
      <c r="H22" s="170"/>
      <c r="I22" s="170"/>
      <c r="J22" s="170"/>
      <c r="K22" s="170"/>
      <c r="L22" s="14"/>
      <c r="M22" s="15"/>
      <c r="N22" s="3"/>
      <c r="O22" s="7"/>
      <c r="P22" s="8"/>
      <c r="Q22" s="9"/>
      <c r="R22" s="3"/>
      <c r="S22" s="16"/>
      <c r="T22" s="17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</row>
    <row r="23" spans="1:73" s="1" customFormat="1" ht="17.25" customHeight="1" thickBot="1" x14ac:dyDescent="0.25">
      <c r="B23" s="183">
        <v>13</v>
      </c>
      <c r="C23" s="183"/>
      <c r="D23" s="184"/>
      <c r="E23" s="184"/>
      <c r="F23" s="184"/>
      <c r="G23" s="184"/>
      <c r="H23" s="184"/>
      <c r="I23" s="184"/>
      <c r="J23" s="184"/>
      <c r="K23" s="184"/>
      <c r="L23" s="18"/>
      <c r="M23" s="19"/>
      <c r="N23" s="3"/>
      <c r="O23" s="10" t="s">
        <v>33</v>
      </c>
      <c r="P23" s="154"/>
      <c r="Q23" s="154"/>
      <c r="R23" s="3"/>
      <c r="S23" s="185">
        <v>12</v>
      </c>
      <c r="T23" s="185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</row>
    <row r="24" spans="1:73" s="1" customFormat="1" ht="8.25" customHeight="1" thickBot="1" x14ac:dyDescent="0.25">
      <c r="C24" s="2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</row>
    <row r="25" spans="1:73" s="1" customFormat="1" ht="46.5" customHeight="1" x14ac:dyDescent="0.2">
      <c r="B25" s="186" t="s">
        <v>34</v>
      </c>
      <c r="C25" s="187"/>
      <c r="D25" s="188" t="s">
        <v>35</v>
      </c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</row>
    <row r="26" spans="1:73" s="1" customFormat="1" ht="65.25" customHeight="1" thickBot="1" x14ac:dyDescent="0.25">
      <c r="A26"/>
      <c r="B26" s="20" t="s">
        <v>36</v>
      </c>
      <c r="C26" s="198" t="s">
        <v>37</v>
      </c>
      <c r="D26" s="199"/>
      <c r="E26" s="200"/>
      <c r="F26" s="121" t="s">
        <v>38</v>
      </c>
      <c r="G26" s="21" t="s">
        <v>39</v>
      </c>
      <c r="H26" s="198" t="s">
        <v>40</v>
      </c>
      <c r="I26" s="199"/>
      <c r="J26" s="200"/>
      <c r="K26" s="198" t="s">
        <v>41</v>
      </c>
      <c r="L26" s="199"/>
      <c r="M26" s="200"/>
      <c r="N26" s="21" t="s">
        <v>42</v>
      </c>
      <c r="O26" s="21" t="s">
        <v>43</v>
      </c>
      <c r="P26" s="21" t="s">
        <v>44</v>
      </c>
      <c r="Q26" s="21" t="s">
        <v>45</v>
      </c>
      <c r="R26" s="198" t="s">
        <v>46</v>
      </c>
      <c r="S26" s="199"/>
      <c r="T26" s="200"/>
      <c r="U26" s="22" t="s">
        <v>47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</row>
    <row r="27" spans="1:73" s="1" customFormat="1" ht="16.5" customHeight="1" x14ac:dyDescent="0.2">
      <c r="A27"/>
      <c r="B27" s="127">
        <v>1</v>
      </c>
      <c r="C27" s="201" t="s">
        <v>202</v>
      </c>
      <c r="D27" s="202"/>
      <c r="E27" s="203"/>
      <c r="F27" s="125"/>
      <c r="G27" s="125"/>
      <c r="H27" s="193"/>
      <c r="I27" s="193"/>
      <c r="J27" s="195"/>
      <c r="K27" s="196"/>
      <c r="L27" s="197"/>
      <c r="M27" s="197"/>
      <c r="N27" s="24"/>
      <c r="O27" s="24"/>
      <c r="P27" s="24"/>
      <c r="Q27" s="24"/>
      <c r="R27" s="197"/>
      <c r="S27" s="197"/>
      <c r="T27" s="197"/>
      <c r="U27" s="25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</row>
    <row r="28" spans="1:73" s="1" customFormat="1" ht="16.5" customHeight="1" x14ac:dyDescent="0.2">
      <c r="A28"/>
      <c r="B28" s="127">
        <v>1</v>
      </c>
      <c r="C28" s="192" t="s">
        <v>203</v>
      </c>
      <c r="D28" s="193"/>
      <c r="E28" s="194"/>
      <c r="F28" s="126"/>
      <c r="G28" s="126"/>
      <c r="H28" s="193"/>
      <c r="I28" s="193"/>
      <c r="J28" s="195"/>
      <c r="K28" s="196"/>
      <c r="L28" s="197"/>
      <c r="M28" s="197"/>
      <c r="N28" s="24"/>
      <c r="O28" s="24"/>
      <c r="P28" s="24"/>
      <c r="Q28" s="24"/>
      <c r="R28" s="197"/>
      <c r="S28" s="197"/>
      <c r="T28" s="197"/>
      <c r="U28" s="25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</row>
    <row r="29" spans="1:73" s="1" customFormat="1" ht="16.5" customHeight="1" x14ac:dyDescent="0.2">
      <c r="A29"/>
      <c r="B29" s="127">
        <v>1</v>
      </c>
      <c r="C29" s="192" t="s">
        <v>204</v>
      </c>
      <c r="D29" s="193"/>
      <c r="E29" s="194"/>
      <c r="F29" s="126"/>
      <c r="G29" s="126"/>
      <c r="H29" s="193"/>
      <c r="I29" s="193"/>
      <c r="J29" s="195"/>
      <c r="K29" s="196"/>
      <c r="L29" s="197"/>
      <c r="M29" s="197"/>
      <c r="N29" s="24"/>
      <c r="O29" s="24"/>
      <c r="P29" s="24"/>
      <c r="Q29" s="24"/>
      <c r="R29" s="197"/>
      <c r="S29" s="197"/>
      <c r="T29" s="197"/>
      <c r="U29" s="25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</row>
    <row r="30" spans="1:73" s="1" customFormat="1" ht="16.5" customHeight="1" thickBot="1" x14ac:dyDescent="0.25">
      <c r="A30"/>
      <c r="B30" s="127">
        <v>1</v>
      </c>
      <c r="C30" s="205" t="s">
        <v>205</v>
      </c>
      <c r="D30" s="206"/>
      <c r="E30" s="207"/>
      <c r="F30" s="27"/>
      <c r="G30" s="126"/>
      <c r="H30" s="197"/>
      <c r="I30" s="197"/>
      <c r="J30" s="197"/>
      <c r="K30" s="196"/>
      <c r="L30" s="197"/>
      <c r="M30" s="197"/>
      <c r="N30" s="24"/>
      <c r="O30" s="24"/>
      <c r="P30" s="24"/>
      <c r="Q30" s="24"/>
      <c r="R30" s="197"/>
      <c r="S30" s="197"/>
      <c r="T30" s="197"/>
      <c r="U30" s="25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</row>
    <row r="31" spans="1:73" s="1" customFormat="1" ht="16.5" customHeight="1" x14ac:dyDescent="0.2">
      <c r="A31"/>
      <c r="B31" s="128">
        <v>2</v>
      </c>
      <c r="C31" s="201"/>
      <c r="D31" s="202"/>
      <c r="E31" s="203"/>
      <c r="F31" s="125"/>
      <c r="G31" s="125"/>
      <c r="H31" s="193"/>
      <c r="I31" s="193"/>
      <c r="J31" s="204"/>
      <c r="K31" s="197"/>
      <c r="L31" s="197"/>
      <c r="M31" s="197"/>
      <c r="N31" s="24"/>
      <c r="O31" s="24"/>
      <c r="P31" s="24"/>
      <c r="Q31" s="27"/>
      <c r="R31" s="197"/>
      <c r="S31" s="197"/>
      <c r="T31" s="197"/>
      <c r="U31" s="25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</row>
    <row r="32" spans="1:73" s="1" customFormat="1" ht="16.5" customHeight="1" x14ac:dyDescent="0.2">
      <c r="A32"/>
      <c r="B32" s="128">
        <v>2</v>
      </c>
      <c r="C32" s="192"/>
      <c r="D32" s="193"/>
      <c r="E32" s="194"/>
      <c r="F32" s="126"/>
      <c r="G32" s="126"/>
      <c r="H32" s="193"/>
      <c r="I32" s="193"/>
      <c r="J32" s="204"/>
      <c r="K32" s="197"/>
      <c r="L32" s="197"/>
      <c r="M32" s="197"/>
      <c r="N32" s="24"/>
      <c r="O32" s="24"/>
      <c r="P32" s="24"/>
      <c r="Q32" s="27"/>
      <c r="R32" s="197"/>
      <c r="S32" s="197"/>
      <c r="T32" s="197"/>
      <c r="U32" s="25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</row>
    <row r="33" spans="1:73" s="1" customFormat="1" ht="16.5" customHeight="1" x14ac:dyDescent="0.2">
      <c r="A33"/>
      <c r="B33" s="128">
        <v>2</v>
      </c>
      <c r="C33" s="192"/>
      <c r="D33" s="193"/>
      <c r="E33" s="194"/>
      <c r="F33" s="126"/>
      <c r="G33" s="126"/>
      <c r="H33" s="193"/>
      <c r="I33" s="193"/>
      <c r="J33" s="204"/>
      <c r="K33" s="197"/>
      <c r="L33" s="197"/>
      <c r="M33" s="197"/>
      <c r="N33" s="24"/>
      <c r="O33" s="24"/>
      <c r="P33" s="24"/>
      <c r="Q33" s="27"/>
      <c r="R33" s="197"/>
      <c r="S33" s="197"/>
      <c r="T33" s="197"/>
      <c r="U33" s="25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</row>
    <row r="34" spans="1:73" s="1" customFormat="1" ht="16.5" customHeight="1" thickBot="1" x14ac:dyDescent="0.25">
      <c r="A34"/>
      <c r="B34" s="128">
        <v>2</v>
      </c>
      <c r="C34" s="208"/>
      <c r="D34" s="209"/>
      <c r="E34" s="210"/>
      <c r="F34" s="126"/>
      <c r="G34" s="126"/>
      <c r="H34" s="193"/>
      <c r="I34" s="193"/>
      <c r="J34" s="195"/>
      <c r="K34" s="197"/>
      <c r="L34" s="197"/>
      <c r="M34" s="197"/>
      <c r="N34" s="24"/>
      <c r="O34" s="24"/>
      <c r="P34" s="24"/>
      <c r="Q34" s="27"/>
      <c r="R34" s="197"/>
      <c r="S34" s="197"/>
      <c r="T34" s="197"/>
      <c r="U34" s="25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</row>
    <row r="35" spans="1:73" s="1" customFormat="1" ht="16.5" customHeight="1" x14ac:dyDescent="0.2">
      <c r="A35"/>
      <c r="B35" s="26">
        <v>2</v>
      </c>
      <c r="C35" s="211"/>
      <c r="D35" s="211"/>
      <c r="E35" s="211"/>
      <c r="F35" s="27"/>
      <c r="G35" s="24"/>
      <c r="H35" s="197"/>
      <c r="I35" s="197"/>
      <c r="J35" s="197"/>
      <c r="K35" s="197"/>
      <c r="L35" s="197"/>
      <c r="M35" s="197"/>
      <c r="N35" s="24"/>
      <c r="O35" s="24"/>
      <c r="P35" s="24"/>
      <c r="Q35" s="27"/>
      <c r="R35" s="197"/>
      <c r="S35" s="197"/>
      <c r="T35" s="197"/>
      <c r="U35" s="25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</row>
    <row r="36" spans="1:73" s="1" customFormat="1" ht="16.5" customHeight="1" thickBot="1" x14ac:dyDescent="0.25">
      <c r="A36"/>
      <c r="B36" s="26">
        <v>2</v>
      </c>
      <c r="C36" s="206"/>
      <c r="D36" s="206"/>
      <c r="E36" s="206"/>
      <c r="F36" s="27"/>
      <c r="G36" s="24"/>
      <c r="H36" s="197"/>
      <c r="I36" s="197"/>
      <c r="J36" s="197"/>
      <c r="K36" s="197"/>
      <c r="L36" s="197"/>
      <c r="M36" s="197"/>
      <c r="N36" s="24"/>
      <c r="O36" s="24"/>
      <c r="P36" s="24"/>
      <c r="Q36" s="27"/>
      <c r="R36" s="197"/>
      <c r="S36" s="197"/>
      <c r="T36" s="197"/>
      <c r="U36" s="25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</row>
    <row r="37" spans="1:73" s="29" customFormat="1" ht="16.5" customHeight="1" x14ac:dyDescent="0.2">
      <c r="A37"/>
      <c r="B37" s="129">
        <v>3</v>
      </c>
      <c r="C37" s="201"/>
      <c r="D37" s="202"/>
      <c r="E37" s="203"/>
      <c r="F37" s="125"/>
      <c r="G37" s="125"/>
      <c r="H37" s="193"/>
      <c r="I37" s="193"/>
      <c r="J37" s="195"/>
      <c r="K37" s="197"/>
      <c r="L37" s="197"/>
      <c r="M37" s="197"/>
      <c r="N37" s="24"/>
      <c r="O37" s="24"/>
      <c r="P37" s="24"/>
      <c r="Q37" s="27"/>
      <c r="R37" s="197"/>
      <c r="S37" s="197"/>
      <c r="T37" s="197"/>
      <c r="U37" s="25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</row>
    <row r="38" spans="1:73" s="1" customFormat="1" ht="16.5" customHeight="1" x14ac:dyDescent="0.2">
      <c r="A38"/>
      <c r="B38" s="129">
        <v>3</v>
      </c>
      <c r="C38" s="192"/>
      <c r="D38" s="193"/>
      <c r="E38" s="194"/>
      <c r="F38" s="126"/>
      <c r="G38" s="126"/>
      <c r="H38" s="193"/>
      <c r="I38" s="193"/>
      <c r="J38" s="195"/>
      <c r="K38" s="197"/>
      <c r="L38" s="197"/>
      <c r="M38" s="197"/>
      <c r="N38" s="24"/>
      <c r="O38" s="24"/>
      <c r="P38" s="24"/>
      <c r="Q38" s="27"/>
      <c r="R38" s="197"/>
      <c r="S38" s="197"/>
      <c r="T38" s="197"/>
      <c r="U38" s="25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</row>
    <row r="39" spans="1:73" s="1" customFormat="1" ht="16.5" customHeight="1" x14ac:dyDescent="0.2">
      <c r="A39"/>
      <c r="B39" s="129">
        <v>3</v>
      </c>
      <c r="C39" s="221"/>
      <c r="D39" s="222"/>
      <c r="E39" s="223"/>
      <c r="F39" s="126"/>
      <c r="G39" s="126"/>
      <c r="H39" s="193"/>
      <c r="I39" s="193"/>
      <c r="J39" s="195"/>
      <c r="K39" s="197"/>
      <c r="L39" s="197"/>
      <c r="M39" s="197"/>
      <c r="N39" s="24"/>
      <c r="O39" s="24"/>
      <c r="P39" s="24"/>
      <c r="Q39" s="27"/>
      <c r="R39" s="197"/>
      <c r="S39" s="197"/>
      <c r="T39" s="197"/>
      <c r="U39" s="25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</row>
    <row r="40" spans="1:73" s="1" customFormat="1" ht="16.5" customHeight="1" x14ac:dyDescent="0.2">
      <c r="A40"/>
      <c r="B40" s="129">
        <v>3</v>
      </c>
      <c r="C40" s="212"/>
      <c r="D40" s="213"/>
      <c r="E40" s="214"/>
      <c r="F40" s="126"/>
      <c r="G40" s="126"/>
      <c r="H40" s="193"/>
      <c r="I40" s="193"/>
      <c r="J40" s="195"/>
      <c r="K40" s="197"/>
      <c r="L40" s="197"/>
      <c r="M40" s="197"/>
      <c r="N40" s="24"/>
      <c r="O40" s="24"/>
      <c r="P40" s="24"/>
      <c r="Q40" s="27"/>
      <c r="R40" s="197"/>
      <c r="S40" s="197"/>
      <c r="T40" s="197"/>
      <c r="U40" s="25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</row>
    <row r="41" spans="1:73" s="1" customFormat="1" ht="16.5" customHeight="1" x14ac:dyDescent="0.2">
      <c r="A41"/>
      <c r="B41" s="129">
        <v>3</v>
      </c>
      <c r="C41" s="215"/>
      <c r="D41" s="216"/>
      <c r="E41" s="217"/>
      <c r="F41" s="126"/>
      <c r="G41" s="126"/>
      <c r="H41" s="147"/>
      <c r="I41" s="147"/>
      <c r="J41" s="125"/>
      <c r="K41" s="218"/>
      <c r="L41" s="219"/>
      <c r="M41" s="220"/>
      <c r="N41" s="24"/>
      <c r="O41" s="24"/>
      <c r="P41" s="24"/>
      <c r="Q41" s="27"/>
      <c r="R41" s="197"/>
      <c r="S41" s="197"/>
      <c r="T41" s="197"/>
      <c r="U41" s="25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</row>
    <row r="42" spans="1:73" s="1" customFormat="1" ht="16.5" customHeight="1" x14ac:dyDescent="0.2">
      <c r="A42"/>
      <c r="B42" s="129">
        <v>3</v>
      </c>
      <c r="C42" s="215"/>
      <c r="D42" s="216"/>
      <c r="E42" s="217"/>
      <c r="F42" s="126"/>
      <c r="G42" s="126"/>
      <c r="H42" s="147"/>
      <c r="I42" s="147"/>
      <c r="J42" s="125"/>
      <c r="K42" s="218"/>
      <c r="L42" s="219"/>
      <c r="M42" s="220"/>
      <c r="N42" s="24"/>
      <c r="O42" s="24"/>
      <c r="P42" s="24"/>
      <c r="Q42" s="27"/>
      <c r="R42" s="197"/>
      <c r="S42" s="197"/>
      <c r="T42" s="197"/>
      <c r="U42" s="25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</row>
    <row r="43" spans="1:73" s="1" customFormat="1" ht="16.5" customHeight="1" x14ac:dyDescent="0.2">
      <c r="A43"/>
      <c r="B43" s="129">
        <v>3</v>
      </c>
      <c r="C43" s="215"/>
      <c r="D43" s="216"/>
      <c r="E43" s="217"/>
      <c r="F43" s="126"/>
      <c r="G43" s="126"/>
      <c r="H43" s="147"/>
      <c r="I43" s="147"/>
      <c r="J43" s="125"/>
      <c r="K43" s="218"/>
      <c r="L43" s="219"/>
      <c r="M43" s="220"/>
      <c r="N43" s="24"/>
      <c r="O43" s="24"/>
      <c r="P43" s="24"/>
      <c r="Q43" s="27"/>
      <c r="R43" s="197"/>
      <c r="S43" s="197"/>
      <c r="T43" s="197"/>
      <c r="U43" s="25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</row>
    <row r="44" spans="1:73" s="1" customFormat="1" ht="16.5" customHeight="1" x14ac:dyDescent="0.2">
      <c r="A44"/>
      <c r="B44" s="129">
        <v>3</v>
      </c>
      <c r="C44" s="224"/>
      <c r="D44" s="225"/>
      <c r="E44" s="226"/>
      <c r="F44" s="126"/>
      <c r="G44" s="126"/>
      <c r="H44" s="147"/>
      <c r="I44" s="147"/>
      <c r="J44" s="125"/>
      <c r="K44" s="218"/>
      <c r="L44" s="219"/>
      <c r="M44" s="220"/>
      <c r="N44" s="24"/>
      <c r="O44" s="24"/>
      <c r="P44" s="24"/>
      <c r="Q44" s="27"/>
      <c r="R44" s="197"/>
      <c r="S44" s="197"/>
      <c r="T44" s="197"/>
      <c r="U44" s="25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</row>
    <row r="45" spans="1:73" s="1" customFormat="1" ht="16.5" customHeight="1" x14ac:dyDescent="0.2">
      <c r="A45"/>
      <c r="B45" s="130">
        <v>4</v>
      </c>
      <c r="C45" s="227"/>
      <c r="D45" s="228"/>
      <c r="E45" s="229"/>
      <c r="F45" s="125"/>
      <c r="G45" s="125"/>
      <c r="H45" s="193"/>
      <c r="I45" s="193"/>
      <c r="J45" s="195"/>
      <c r="K45" s="197"/>
      <c r="L45" s="197"/>
      <c r="M45" s="197"/>
      <c r="N45" s="24"/>
      <c r="O45" s="24"/>
      <c r="P45" s="24"/>
      <c r="Q45" s="27"/>
      <c r="R45" s="197"/>
      <c r="S45" s="197"/>
      <c r="T45" s="197"/>
      <c r="U45" s="25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</row>
    <row r="46" spans="1:73" s="1" customFormat="1" ht="16.5" customHeight="1" x14ac:dyDescent="0.2">
      <c r="A46"/>
      <c r="B46" s="130">
        <v>4</v>
      </c>
      <c r="C46" s="192"/>
      <c r="D46" s="193"/>
      <c r="E46" s="194"/>
      <c r="F46" s="126"/>
      <c r="G46" s="126"/>
      <c r="H46" s="193"/>
      <c r="I46" s="193"/>
      <c r="J46" s="195"/>
      <c r="K46" s="197"/>
      <c r="L46" s="197"/>
      <c r="M46" s="197"/>
      <c r="N46" s="24"/>
      <c r="O46" s="24"/>
      <c r="P46" s="24"/>
      <c r="Q46" s="27"/>
      <c r="R46" s="197"/>
      <c r="S46" s="197"/>
      <c r="T46" s="197"/>
      <c r="U46" s="25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</row>
    <row r="47" spans="1:73" s="1" customFormat="1" ht="16.5" customHeight="1" x14ac:dyDescent="0.2">
      <c r="A47"/>
      <c r="B47" s="130">
        <v>4</v>
      </c>
      <c r="C47" s="192"/>
      <c r="D47" s="193"/>
      <c r="E47" s="194"/>
      <c r="F47" s="126"/>
      <c r="G47" s="126"/>
      <c r="H47" s="193"/>
      <c r="I47" s="193"/>
      <c r="J47" s="195"/>
      <c r="K47" s="197"/>
      <c r="L47" s="197"/>
      <c r="M47" s="197"/>
      <c r="N47" s="24"/>
      <c r="O47" s="24"/>
      <c r="P47" s="24"/>
      <c r="Q47" s="27"/>
      <c r="R47" s="197"/>
      <c r="S47" s="197"/>
      <c r="T47" s="197"/>
      <c r="U47" s="25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</row>
    <row r="48" spans="1:73" s="1" customFormat="1" ht="16.5" customHeight="1" thickBot="1" x14ac:dyDescent="0.25">
      <c r="A48"/>
      <c r="B48" s="130">
        <v>4</v>
      </c>
      <c r="C48" s="221"/>
      <c r="D48" s="222"/>
      <c r="E48" s="223"/>
      <c r="F48" s="126"/>
      <c r="G48" s="126"/>
      <c r="H48" s="193"/>
      <c r="I48" s="193"/>
      <c r="J48" s="195"/>
      <c r="K48" s="197"/>
      <c r="L48" s="197"/>
      <c r="M48" s="197"/>
      <c r="N48" s="24"/>
      <c r="O48" s="24"/>
      <c r="P48" s="24"/>
      <c r="Q48" s="27"/>
      <c r="R48" s="197"/>
      <c r="S48" s="197"/>
      <c r="T48" s="197"/>
      <c r="U48" s="25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</row>
    <row r="49" spans="1:73" s="29" customFormat="1" ht="16.5" customHeight="1" x14ac:dyDescent="0.2">
      <c r="A49"/>
      <c r="B49" s="131">
        <v>5</v>
      </c>
      <c r="C49" s="201"/>
      <c r="D49" s="202"/>
      <c r="E49" s="203"/>
      <c r="F49" s="125"/>
      <c r="G49" s="125"/>
      <c r="H49" s="197"/>
      <c r="I49" s="197"/>
      <c r="J49" s="197"/>
      <c r="K49" s="197"/>
      <c r="L49" s="197"/>
      <c r="M49" s="197"/>
      <c r="N49" s="24"/>
      <c r="O49" s="24"/>
      <c r="P49" s="24"/>
      <c r="Q49" s="27"/>
      <c r="R49" s="197"/>
      <c r="S49" s="197"/>
      <c r="T49" s="197"/>
      <c r="U49" s="25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</row>
    <row r="50" spans="1:73" s="1" customFormat="1" ht="16.5" customHeight="1" x14ac:dyDescent="0.2">
      <c r="A50"/>
      <c r="B50" s="131">
        <v>5</v>
      </c>
      <c r="C50" s="192"/>
      <c r="D50" s="193"/>
      <c r="E50" s="194"/>
      <c r="F50" s="126"/>
      <c r="G50" s="126"/>
      <c r="H50" s="197"/>
      <c r="I50" s="197"/>
      <c r="J50" s="197"/>
      <c r="K50" s="197"/>
      <c r="L50" s="197"/>
      <c r="M50" s="197"/>
      <c r="N50" s="24"/>
      <c r="O50" s="24"/>
      <c r="P50" s="24"/>
      <c r="Q50" s="27"/>
      <c r="R50" s="197"/>
      <c r="S50" s="197"/>
      <c r="T50" s="197"/>
      <c r="U50" s="25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</row>
    <row r="51" spans="1:73" s="1" customFormat="1" ht="16.5" customHeight="1" thickBot="1" x14ac:dyDescent="0.25">
      <c r="A51"/>
      <c r="B51" s="131">
        <v>5</v>
      </c>
      <c r="C51" s="205"/>
      <c r="D51" s="206"/>
      <c r="E51" s="207"/>
      <c r="F51" s="124"/>
      <c r="G51" s="126"/>
      <c r="H51" s="197"/>
      <c r="I51" s="197"/>
      <c r="J51" s="197"/>
      <c r="K51" s="197"/>
      <c r="L51" s="197"/>
      <c r="M51" s="197"/>
      <c r="N51" s="24"/>
      <c r="O51" s="24"/>
      <c r="P51" s="24"/>
      <c r="Q51" s="27"/>
      <c r="R51" s="197"/>
      <c r="S51" s="197"/>
      <c r="T51" s="197"/>
      <c r="U51" s="25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</row>
    <row r="52" spans="1:73" s="1" customFormat="1" ht="16.5" customHeight="1" x14ac:dyDescent="0.2">
      <c r="A52"/>
      <c r="B52" s="132">
        <v>6</v>
      </c>
      <c r="C52" s="201"/>
      <c r="D52" s="202"/>
      <c r="E52" s="203"/>
      <c r="F52" s="125"/>
      <c r="G52" s="125"/>
      <c r="H52" s="197"/>
      <c r="I52" s="197"/>
      <c r="J52" s="197"/>
      <c r="K52" s="197"/>
      <c r="L52" s="197"/>
      <c r="M52" s="197"/>
      <c r="N52" s="24"/>
      <c r="O52" s="24"/>
      <c r="P52" s="24"/>
      <c r="Q52" s="27"/>
      <c r="R52" s="197"/>
      <c r="S52" s="197"/>
      <c r="T52" s="197"/>
      <c r="U52" s="25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</row>
    <row r="53" spans="1:73" s="1" customFormat="1" ht="16.5" customHeight="1" x14ac:dyDescent="0.2">
      <c r="A53"/>
      <c r="B53" s="132">
        <v>6</v>
      </c>
      <c r="C53" s="192"/>
      <c r="D53" s="193"/>
      <c r="E53" s="194"/>
      <c r="F53" s="126"/>
      <c r="G53" s="126"/>
      <c r="H53" s="197"/>
      <c r="I53" s="197"/>
      <c r="J53" s="197"/>
      <c r="K53" s="197"/>
      <c r="L53" s="197"/>
      <c r="M53" s="197"/>
      <c r="N53" s="24"/>
      <c r="O53" s="24"/>
      <c r="P53" s="24"/>
      <c r="Q53" s="27"/>
      <c r="R53" s="197"/>
      <c r="S53" s="197"/>
      <c r="T53" s="197"/>
      <c r="U53" s="25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</row>
    <row r="54" spans="1:73" s="1" customFormat="1" ht="16.5" customHeight="1" x14ac:dyDescent="0.2">
      <c r="A54"/>
      <c r="B54" s="132">
        <v>6</v>
      </c>
      <c r="C54" s="233"/>
      <c r="D54" s="197"/>
      <c r="E54" s="234"/>
      <c r="F54" s="124"/>
      <c r="G54" s="126"/>
      <c r="H54" s="197"/>
      <c r="I54" s="197"/>
      <c r="J54" s="197"/>
      <c r="K54" s="197"/>
      <c r="L54" s="197"/>
      <c r="M54" s="197"/>
      <c r="N54" s="24"/>
      <c r="O54" s="24"/>
      <c r="P54" s="24"/>
      <c r="Q54" s="27"/>
      <c r="R54" s="197"/>
      <c r="S54" s="197"/>
      <c r="T54" s="197"/>
      <c r="U54" s="25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</row>
    <row r="55" spans="1:73" s="1" customFormat="1" ht="16.5" customHeight="1" thickBot="1" x14ac:dyDescent="0.25">
      <c r="A55"/>
      <c r="B55" s="132">
        <v>6</v>
      </c>
      <c r="C55" s="205"/>
      <c r="D55" s="206"/>
      <c r="E55" s="207"/>
      <c r="F55" s="124"/>
      <c r="G55" s="24"/>
      <c r="H55" s="197"/>
      <c r="I55" s="197"/>
      <c r="J55" s="197"/>
      <c r="K55" s="197"/>
      <c r="L55" s="197"/>
      <c r="M55" s="197"/>
      <c r="N55" s="24"/>
      <c r="O55" s="24"/>
      <c r="P55" s="24"/>
      <c r="Q55" s="27"/>
      <c r="R55" s="197"/>
      <c r="S55" s="197"/>
      <c r="T55" s="197"/>
      <c r="U55" s="25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</row>
    <row r="56" spans="1:73" s="1" customFormat="1" ht="16.5" customHeight="1" x14ac:dyDescent="0.2">
      <c r="A56"/>
      <c r="B56" s="133">
        <v>7</v>
      </c>
      <c r="C56" s="230"/>
      <c r="D56" s="231"/>
      <c r="E56" s="232"/>
      <c r="F56" s="124"/>
      <c r="G56" s="126"/>
      <c r="H56" s="197"/>
      <c r="I56" s="197"/>
      <c r="J56" s="197"/>
      <c r="K56" s="197"/>
      <c r="L56" s="197"/>
      <c r="M56" s="197"/>
      <c r="N56" s="24"/>
      <c r="O56" s="24"/>
      <c r="P56" s="24"/>
      <c r="Q56" s="27"/>
      <c r="R56" s="197"/>
      <c r="S56" s="197"/>
      <c r="T56" s="197"/>
      <c r="U56" s="25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</row>
    <row r="57" spans="1:73" s="1" customFormat="1" ht="16.5" customHeight="1" x14ac:dyDescent="0.2">
      <c r="A57"/>
      <c r="B57" s="133">
        <v>7</v>
      </c>
      <c r="C57" s="233"/>
      <c r="D57" s="197"/>
      <c r="E57" s="234"/>
      <c r="F57" s="124"/>
      <c r="G57" s="126"/>
      <c r="H57" s="197"/>
      <c r="I57" s="197"/>
      <c r="J57" s="197"/>
      <c r="K57" s="197"/>
      <c r="L57" s="197"/>
      <c r="M57" s="197"/>
      <c r="N57" s="24"/>
      <c r="O57" s="24"/>
      <c r="P57" s="24"/>
      <c r="Q57" s="27"/>
      <c r="R57" s="197"/>
      <c r="S57" s="197"/>
      <c r="T57" s="197"/>
      <c r="U57" s="25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</row>
    <row r="58" spans="1:73" s="1" customFormat="1" ht="16.5" customHeight="1" x14ac:dyDescent="0.2">
      <c r="A58"/>
      <c r="B58" s="133">
        <v>7</v>
      </c>
      <c r="C58" s="233"/>
      <c r="D58" s="197"/>
      <c r="E58" s="234"/>
      <c r="F58" s="124"/>
      <c r="G58" s="126"/>
      <c r="H58" s="197"/>
      <c r="I58" s="197"/>
      <c r="J58" s="197"/>
      <c r="K58" s="197"/>
      <c r="L58" s="197"/>
      <c r="M58" s="197"/>
      <c r="N58" s="24"/>
      <c r="O58" s="24"/>
      <c r="P58" s="24"/>
      <c r="Q58" s="27"/>
      <c r="R58" s="197"/>
      <c r="S58" s="197"/>
      <c r="T58" s="197"/>
      <c r="U58" s="25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</row>
    <row r="59" spans="1:73" s="1" customFormat="1" ht="16.5" customHeight="1" thickBot="1" x14ac:dyDescent="0.25">
      <c r="A59"/>
      <c r="B59" s="133">
        <v>7</v>
      </c>
      <c r="C59" s="205"/>
      <c r="D59" s="206"/>
      <c r="E59" s="207"/>
      <c r="F59" s="124"/>
      <c r="G59" s="126"/>
      <c r="H59" s="197"/>
      <c r="I59" s="197"/>
      <c r="J59" s="197"/>
      <c r="K59" s="197"/>
      <c r="L59" s="197"/>
      <c r="M59" s="197"/>
      <c r="N59" s="24"/>
      <c r="O59" s="24"/>
      <c r="P59" s="24"/>
      <c r="Q59" s="27"/>
      <c r="R59" s="197"/>
      <c r="S59" s="197"/>
      <c r="T59" s="197"/>
      <c r="U59" s="25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</row>
    <row r="60" spans="1:73" s="1" customFormat="1" ht="16.5" customHeight="1" x14ac:dyDescent="0.2">
      <c r="A60"/>
      <c r="B60" s="134">
        <v>8</v>
      </c>
      <c r="C60" s="230"/>
      <c r="D60" s="231"/>
      <c r="E60" s="232"/>
      <c r="F60" s="124"/>
      <c r="G60" s="126"/>
      <c r="H60" s="197"/>
      <c r="I60" s="197"/>
      <c r="J60" s="197"/>
      <c r="K60" s="197"/>
      <c r="L60" s="197"/>
      <c r="M60" s="197"/>
      <c r="N60" s="24"/>
      <c r="O60" s="24"/>
      <c r="P60" s="24"/>
      <c r="Q60" s="27"/>
      <c r="R60" s="197"/>
      <c r="S60" s="197"/>
      <c r="T60" s="197"/>
      <c r="U60" s="25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</row>
    <row r="61" spans="1:73" s="1" customFormat="1" ht="16.5" customHeight="1" x14ac:dyDescent="0.2">
      <c r="A61"/>
      <c r="B61" s="134">
        <v>8</v>
      </c>
      <c r="C61" s="233"/>
      <c r="D61" s="197"/>
      <c r="E61" s="234"/>
      <c r="F61" s="124"/>
      <c r="G61" s="126"/>
      <c r="H61" s="197"/>
      <c r="I61" s="197"/>
      <c r="J61" s="197"/>
      <c r="K61" s="197"/>
      <c r="L61" s="197"/>
      <c r="M61" s="197"/>
      <c r="N61" s="24"/>
      <c r="O61" s="24"/>
      <c r="P61" s="24"/>
      <c r="Q61" s="27"/>
      <c r="R61" s="197"/>
      <c r="S61" s="197"/>
      <c r="T61" s="197"/>
      <c r="U61" s="25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</row>
    <row r="62" spans="1:73" s="1" customFormat="1" ht="16.5" customHeight="1" x14ac:dyDescent="0.2">
      <c r="A62"/>
      <c r="B62" s="134">
        <v>8</v>
      </c>
      <c r="C62" s="233"/>
      <c r="D62" s="197"/>
      <c r="E62" s="234"/>
      <c r="F62" s="124"/>
      <c r="G62" s="126"/>
      <c r="H62" s="197"/>
      <c r="I62" s="197"/>
      <c r="J62" s="197"/>
      <c r="K62" s="197"/>
      <c r="L62" s="197"/>
      <c r="M62" s="197"/>
      <c r="N62" s="24"/>
      <c r="O62" s="24"/>
      <c r="P62" s="24"/>
      <c r="Q62" s="27"/>
      <c r="R62" s="197"/>
      <c r="S62" s="197"/>
      <c r="T62" s="197"/>
      <c r="U62" s="25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</row>
    <row r="63" spans="1:73" s="1" customFormat="1" ht="16.5" customHeight="1" thickBot="1" x14ac:dyDescent="0.25">
      <c r="A63"/>
      <c r="B63" s="134">
        <v>8</v>
      </c>
      <c r="C63" s="205"/>
      <c r="D63" s="206"/>
      <c r="E63" s="207"/>
      <c r="F63" s="124"/>
      <c r="G63" s="126"/>
      <c r="H63" s="197"/>
      <c r="I63" s="197"/>
      <c r="J63" s="197"/>
      <c r="K63" s="197"/>
      <c r="L63" s="197"/>
      <c r="M63" s="197"/>
      <c r="N63" s="24"/>
      <c r="O63" s="24"/>
      <c r="P63" s="24"/>
      <c r="Q63" s="27"/>
      <c r="R63" s="197"/>
      <c r="S63" s="197"/>
      <c r="T63" s="197"/>
      <c r="U63" s="25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</row>
    <row r="64" spans="1:73" s="1" customFormat="1" ht="16.5" customHeight="1" x14ac:dyDescent="0.2">
      <c r="A64"/>
      <c r="B64" s="135">
        <v>9</v>
      </c>
      <c r="C64" s="136"/>
      <c r="D64" s="137"/>
      <c r="E64" s="138"/>
      <c r="F64" s="118"/>
      <c r="G64" s="126"/>
      <c r="H64" s="218"/>
      <c r="I64" s="219"/>
      <c r="J64" s="220"/>
      <c r="K64" s="197"/>
      <c r="L64" s="197"/>
      <c r="M64" s="197"/>
      <c r="N64" s="24"/>
      <c r="O64" s="24"/>
      <c r="P64" s="24"/>
      <c r="Q64" s="27"/>
      <c r="R64" s="197"/>
      <c r="S64" s="197"/>
      <c r="T64" s="197"/>
      <c r="U64" s="25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</row>
    <row r="65" spans="1:73" s="1" customFormat="1" ht="16.5" customHeight="1" x14ac:dyDescent="0.2">
      <c r="A65"/>
      <c r="B65" s="135">
        <v>9</v>
      </c>
      <c r="C65" s="139"/>
      <c r="D65" s="117"/>
      <c r="E65" s="140"/>
      <c r="F65" s="118"/>
      <c r="G65" s="126"/>
      <c r="H65" s="218"/>
      <c r="I65" s="219"/>
      <c r="J65" s="220"/>
      <c r="K65" s="197"/>
      <c r="L65" s="197"/>
      <c r="M65" s="197"/>
      <c r="N65" s="24"/>
      <c r="O65" s="24"/>
      <c r="P65" s="24"/>
      <c r="Q65" s="27"/>
      <c r="R65" s="197"/>
      <c r="S65" s="197"/>
      <c r="T65" s="197"/>
      <c r="U65" s="25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</row>
    <row r="66" spans="1:73" s="1" customFormat="1" ht="16.5" customHeight="1" thickBot="1" x14ac:dyDescent="0.25">
      <c r="A66"/>
      <c r="B66" s="135">
        <v>9</v>
      </c>
      <c r="C66" s="142"/>
      <c r="D66" s="143"/>
      <c r="E66" s="144"/>
      <c r="F66" s="118"/>
      <c r="G66" s="126"/>
      <c r="H66" s="218"/>
      <c r="I66" s="219"/>
      <c r="J66" s="220"/>
      <c r="K66" s="197"/>
      <c r="L66" s="197"/>
      <c r="M66" s="197"/>
      <c r="N66" s="24"/>
      <c r="O66" s="24"/>
      <c r="P66" s="24"/>
      <c r="Q66" s="27"/>
      <c r="R66" s="197"/>
      <c r="S66" s="197"/>
      <c r="T66" s="197"/>
      <c r="U66" s="25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</row>
    <row r="67" spans="1:73" s="1" customFormat="1" ht="16.5" customHeight="1" x14ac:dyDescent="0.2">
      <c r="A67"/>
      <c r="B67" s="141">
        <v>10</v>
      </c>
      <c r="C67" s="230"/>
      <c r="D67" s="231"/>
      <c r="E67" s="232"/>
      <c r="F67" s="124"/>
      <c r="G67" s="126"/>
      <c r="H67" s="197"/>
      <c r="I67" s="197"/>
      <c r="J67" s="197"/>
      <c r="K67" s="197"/>
      <c r="L67" s="197"/>
      <c r="M67" s="197"/>
      <c r="N67" s="24"/>
      <c r="O67" s="24"/>
      <c r="P67" s="24"/>
      <c r="Q67" s="27"/>
      <c r="R67" s="197"/>
      <c r="S67" s="197"/>
      <c r="T67" s="197"/>
      <c r="U67" s="25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</row>
    <row r="68" spans="1:73" s="1" customFormat="1" ht="16.5" customHeight="1" thickBot="1" x14ac:dyDescent="0.25">
      <c r="A68"/>
      <c r="B68" s="141">
        <v>10</v>
      </c>
      <c r="C68" s="205"/>
      <c r="D68" s="206"/>
      <c r="E68" s="207"/>
      <c r="F68" s="124"/>
      <c r="G68" s="126"/>
      <c r="H68" s="197"/>
      <c r="I68" s="197"/>
      <c r="J68" s="197"/>
      <c r="K68" s="197"/>
      <c r="L68" s="197"/>
      <c r="M68" s="197"/>
      <c r="N68" s="24"/>
      <c r="O68" s="24"/>
      <c r="P68" s="24"/>
      <c r="Q68" s="27"/>
      <c r="R68" s="197"/>
      <c r="S68" s="197"/>
      <c r="T68" s="197"/>
      <c r="U68" s="25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</row>
    <row r="69" spans="1:73" s="1" customFormat="1" ht="16.5" customHeight="1" thickBot="1" x14ac:dyDescent="0.25">
      <c r="A69"/>
      <c r="B69" s="145">
        <v>11</v>
      </c>
      <c r="C69" s="235"/>
      <c r="D69" s="236"/>
      <c r="E69" s="237"/>
      <c r="F69" s="124"/>
      <c r="G69" s="126"/>
      <c r="H69" s="197"/>
      <c r="I69" s="197"/>
      <c r="J69" s="197"/>
      <c r="K69" s="197"/>
      <c r="L69" s="197"/>
      <c r="M69" s="197"/>
      <c r="N69" s="24"/>
      <c r="O69" s="24"/>
      <c r="P69" s="24"/>
      <c r="Q69" s="27"/>
      <c r="R69" s="197"/>
      <c r="S69" s="197"/>
      <c r="T69" s="197"/>
      <c r="U69" s="25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</row>
    <row r="70" spans="1:73" s="29" customFormat="1" ht="16.5" customHeight="1" thickBot="1" x14ac:dyDescent="0.25">
      <c r="A70"/>
      <c r="B70" s="146">
        <v>12</v>
      </c>
      <c r="C70" s="235"/>
      <c r="D70" s="236"/>
      <c r="E70" s="237"/>
      <c r="F70" s="124"/>
      <c r="G70" s="126"/>
      <c r="H70" s="197"/>
      <c r="I70" s="197"/>
      <c r="J70" s="197"/>
      <c r="K70" s="197"/>
      <c r="L70" s="197"/>
      <c r="M70" s="197"/>
      <c r="N70" s="24"/>
      <c r="O70" s="24"/>
      <c r="P70" s="24"/>
      <c r="Q70" s="27"/>
      <c r="R70" s="197"/>
      <c r="S70" s="197"/>
      <c r="T70" s="197"/>
      <c r="U70" s="25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</row>
    <row r="71" spans="1:73" s="1" customFormat="1" ht="16.5" customHeight="1" thickBot="1" x14ac:dyDescent="0.25">
      <c r="B71" s="135">
        <v>13</v>
      </c>
      <c r="C71" s="238"/>
      <c r="D71" s="239"/>
      <c r="E71" s="240"/>
      <c r="F71" s="124"/>
      <c r="G71" s="126"/>
      <c r="H71" s="197"/>
      <c r="I71" s="197"/>
      <c r="J71" s="197"/>
      <c r="K71" s="197"/>
      <c r="L71" s="197"/>
      <c r="M71" s="197"/>
      <c r="N71" s="24"/>
      <c r="O71" s="24"/>
      <c r="P71" s="24"/>
      <c r="Q71" s="27"/>
      <c r="R71" s="197"/>
      <c r="S71" s="197"/>
      <c r="T71" s="197"/>
      <c r="U71" s="25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</row>
    <row r="72" spans="1:73" s="1" customFormat="1" ht="16.5" customHeight="1" x14ac:dyDescent="0.2">
      <c r="B72" s="34"/>
      <c r="C72" s="211"/>
      <c r="D72" s="211"/>
      <c r="E72" s="211"/>
      <c r="F72" s="27"/>
      <c r="G72" s="24"/>
      <c r="H72" s="197"/>
      <c r="I72" s="197"/>
      <c r="J72" s="197"/>
      <c r="K72" s="197"/>
      <c r="L72" s="197"/>
      <c r="M72" s="197"/>
      <c r="N72" s="24"/>
      <c r="O72" s="24"/>
      <c r="P72" s="24"/>
      <c r="Q72" s="27"/>
      <c r="R72" s="197"/>
      <c r="S72" s="197"/>
      <c r="T72" s="197"/>
      <c r="U72" s="25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</row>
    <row r="73" spans="1:73" s="1" customFormat="1" ht="16.5" customHeight="1" x14ac:dyDescent="0.2">
      <c r="J73" s="197"/>
      <c r="K73" s="197"/>
      <c r="L73" s="197"/>
      <c r="M73" s="24"/>
      <c r="N73" s="24"/>
      <c r="O73" s="24"/>
      <c r="P73" s="27"/>
      <c r="Q73" s="197"/>
      <c r="R73" s="197"/>
      <c r="S73" s="197"/>
      <c r="T73" s="25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</row>
    <row r="74" spans="1:73" s="1" customFormat="1" ht="23.25" customHeight="1" x14ac:dyDescent="0.2">
      <c r="C74" s="2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</row>
    <row r="75" spans="1:73" s="1" customFormat="1" ht="23.25" customHeight="1" x14ac:dyDescent="0.2">
      <c r="C75" s="2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</row>
    <row r="76" spans="1:73" s="1" customFormat="1" ht="23.25" customHeight="1" thickBot="1" x14ac:dyDescent="0.25">
      <c r="C76" s="2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</row>
    <row r="77" spans="1:73" s="1" customFormat="1" ht="42" customHeight="1" x14ac:dyDescent="0.2">
      <c r="B77" s="34">
        <v>9</v>
      </c>
      <c r="C77" s="248" t="s">
        <v>48</v>
      </c>
      <c r="D77" s="249"/>
      <c r="E77" s="250"/>
      <c r="F77" s="37"/>
      <c r="G77" s="37"/>
      <c r="H77" s="37"/>
      <c r="I77" s="37"/>
      <c r="J77" s="37"/>
      <c r="K77" s="37"/>
      <c r="L77" s="38"/>
      <c r="M77" s="39"/>
      <c r="N77" s="39"/>
      <c r="O77" s="39"/>
      <c r="P77" s="39"/>
      <c r="Q77" s="39"/>
      <c r="R77" s="39"/>
      <c r="S77" s="39"/>
      <c r="T77" s="39"/>
      <c r="U77" s="116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</row>
    <row r="78" spans="1:73" ht="38.25" customHeight="1" x14ac:dyDescent="0.2">
      <c r="B78" s="36">
        <v>10</v>
      </c>
      <c r="C78" s="40"/>
      <c r="D78" s="40" t="s">
        <v>49</v>
      </c>
      <c r="E78" s="40"/>
      <c r="F78" s="40" t="s">
        <v>50</v>
      </c>
      <c r="G78" s="40"/>
      <c r="H78" s="40" t="s">
        <v>51</v>
      </c>
      <c r="I78" s="40"/>
      <c r="J78" s="40"/>
      <c r="K78" s="40" t="s">
        <v>52</v>
      </c>
      <c r="L78" s="41"/>
      <c r="M78" s="3"/>
      <c r="N78" s="3"/>
      <c r="O78" s="3"/>
      <c r="P78" s="3"/>
    </row>
    <row r="79" spans="1:73" ht="21" customHeight="1" thickBot="1" x14ac:dyDescent="0.25">
      <c r="B79" s="42" t="s">
        <v>53</v>
      </c>
      <c r="C79" s="43" t="s">
        <v>54</v>
      </c>
      <c r="D79" s="43" t="s">
        <v>55</v>
      </c>
      <c r="E79" s="43" t="s">
        <v>56</v>
      </c>
      <c r="F79" s="43" t="s">
        <v>57</v>
      </c>
      <c r="G79" s="43" t="s">
        <v>58</v>
      </c>
      <c r="H79" s="43" t="s">
        <v>57</v>
      </c>
      <c r="I79" s="43" t="s">
        <v>59</v>
      </c>
      <c r="J79" s="43" t="s">
        <v>58</v>
      </c>
      <c r="K79" s="43" t="s">
        <v>60</v>
      </c>
      <c r="L79" s="44" t="s">
        <v>61</v>
      </c>
      <c r="M79" s="3"/>
      <c r="N79" s="3"/>
      <c r="O79" s="3"/>
      <c r="P79" s="3"/>
    </row>
    <row r="80" spans="1:73" ht="23.25" customHeight="1" x14ac:dyDescent="0.2">
      <c r="B80" s="45">
        <v>1</v>
      </c>
      <c r="C80" s="46">
        <v>45019</v>
      </c>
      <c r="D80" s="47"/>
      <c r="E80" s="47"/>
      <c r="F80" s="48"/>
      <c r="G80" s="48"/>
      <c r="H80" s="47"/>
      <c r="I80" s="47"/>
      <c r="J80" s="47"/>
      <c r="K80" s="48"/>
      <c r="L80" s="49"/>
      <c r="M80" s="3"/>
      <c r="N80" s="3"/>
      <c r="O80" s="3"/>
      <c r="P80" s="3"/>
    </row>
    <row r="81" spans="2:72" ht="23.25" customHeight="1" x14ac:dyDescent="0.2">
      <c r="B81" s="50">
        <v>2</v>
      </c>
      <c r="C81" s="51">
        <v>45026</v>
      </c>
      <c r="D81" s="52"/>
      <c r="E81" s="52"/>
      <c r="F81" s="53"/>
      <c r="G81" s="53"/>
      <c r="H81" s="52"/>
      <c r="I81" s="52"/>
      <c r="J81" s="52"/>
      <c r="K81" s="53"/>
      <c r="L81" s="54"/>
      <c r="M81" s="3"/>
      <c r="N81" s="3"/>
      <c r="O81" s="3"/>
      <c r="P81" s="3"/>
    </row>
    <row r="82" spans="2:72" ht="23.25" customHeight="1" x14ac:dyDescent="0.2">
      <c r="B82" s="50">
        <v>3</v>
      </c>
      <c r="C82" s="51">
        <f t="shared" ref="C82:C131" si="1">C81+7</f>
        <v>45033</v>
      </c>
      <c r="D82" s="52"/>
      <c r="E82" s="52"/>
      <c r="F82" s="53"/>
      <c r="G82" s="53"/>
      <c r="H82" s="52"/>
      <c r="I82" s="52"/>
      <c r="J82" s="52"/>
      <c r="K82" s="53"/>
      <c r="L82" s="54"/>
      <c r="M82" s="3"/>
      <c r="N82" s="3"/>
      <c r="O82" s="3"/>
      <c r="P82" s="3"/>
    </row>
    <row r="83" spans="2:72" ht="23.25" customHeight="1" x14ac:dyDescent="0.2">
      <c r="B83" s="50">
        <v>4</v>
      </c>
      <c r="C83" s="51">
        <f t="shared" si="1"/>
        <v>45040</v>
      </c>
      <c r="D83" s="52"/>
      <c r="E83" s="52"/>
      <c r="F83" s="53"/>
      <c r="G83" s="53"/>
      <c r="H83" s="52"/>
      <c r="I83" s="52"/>
      <c r="J83" s="52"/>
      <c r="K83" s="53"/>
      <c r="L83" s="54"/>
      <c r="M83" s="3"/>
      <c r="N83" s="3"/>
      <c r="O83" s="3"/>
      <c r="P83" s="3"/>
    </row>
    <row r="84" spans="2:72" ht="23.25" customHeight="1" x14ac:dyDescent="0.2">
      <c r="B84" s="50">
        <v>5</v>
      </c>
      <c r="C84" s="51">
        <f t="shared" si="1"/>
        <v>45047</v>
      </c>
      <c r="D84" s="52"/>
      <c r="E84" s="52"/>
      <c r="F84" s="53"/>
      <c r="G84" s="53"/>
      <c r="H84" s="52"/>
      <c r="I84" s="52"/>
      <c r="J84" s="52"/>
      <c r="K84" s="53"/>
      <c r="L84" s="54"/>
      <c r="M84" s="3"/>
      <c r="N84" s="3"/>
      <c r="O84" s="3"/>
      <c r="P84" s="3"/>
    </row>
    <row r="85" spans="2:72" ht="23.25" customHeight="1" x14ac:dyDescent="0.2">
      <c r="B85" s="50">
        <v>6</v>
      </c>
      <c r="C85" s="51">
        <f t="shared" si="1"/>
        <v>45054</v>
      </c>
      <c r="D85" s="52"/>
      <c r="E85" s="52"/>
      <c r="F85" s="53"/>
      <c r="G85" s="53"/>
      <c r="H85" s="52"/>
      <c r="I85" s="52"/>
      <c r="J85" s="52"/>
      <c r="K85" s="53"/>
      <c r="L85" s="54"/>
      <c r="M85" s="3"/>
      <c r="N85" s="3"/>
      <c r="O85" s="3"/>
      <c r="P85" s="3"/>
    </row>
    <row r="86" spans="2:72" ht="23.25" customHeight="1" x14ac:dyDescent="0.2">
      <c r="B86" s="50">
        <v>7</v>
      </c>
      <c r="C86" s="51">
        <f t="shared" si="1"/>
        <v>45061</v>
      </c>
      <c r="D86" s="52"/>
      <c r="E86" s="52"/>
      <c r="F86" s="53"/>
      <c r="G86" s="53"/>
      <c r="H86" s="52"/>
      <c r="I86" s="52"/>
      <c r="J86" s="52"/>
      <c r="K86" s="53"/>
      <c r="L86" s="54"/>
      <c r="M86" s="3"/>
      <c r="N86" s="3"/>
      <c r="O86" s="3"/>
      <c r="P86" s="3"/>
    </row>
    <row r="87" spans="2:72" ht="23.25" customHeight="1" x14ac:dyDescent="0.2">
      <c r="B87" s="50">
        <v>8</v>
      </c>
      <c r="C87" s="51">
        <f t="shared" si="1"/>
        <v>45068</v>
      </c>
      <c r="D87" s="52"/>
      <c r="E87" s="52"/>
      <c r="F87" s="53"/>
      <c r="G87" s="53"/>
      <c r="H87" s="52"/>
      <c r="J87" s="52"/>
      <c r="K87" s="53"/>
      <c r="L87" s="54"/>
      <c r="M87" s="3"/>
      <c r="N87" s="3"/>
      <c r="O87" s="3"/>
      <c r="P87" s="3"/>
    </row>
    <row r="88" spans="2:72" ht="23.25" customHeight="1" thickBot="1" x14ac:dyDescent="0.25">
      <c r="B88" s="50">
        <v>9</v>
      </c>
      <c r="C88" s="51">
        <f t="shared" si="1"/>
        <v>45075</v>
      </c>
      <c r="D88" s="52"/>
      <c r="E88" s="52"/>
      <c r="F88" s="53"/>
      <c r="G88" s="53"/>
      <c r="H88" s="52"/>
      <c r="I88" s="52"/>
      <c r="J88" s="52"/>
      <c r="K88" s="53"/>
      <c r="L88" s="54"/>
      <c r="M88" s="3"/>
      <c r="N88" s="3"/>
      <c r="O88" s="3"/>
      <c r="P88" s="3"/>
    </row>
    <row r="89" spans="2:72" ht="23.25" customHeight="1" x14ac:dyDescent="0.2">
      <c r="B89" s="50">
        <v>10</v>
      </c>
      <c r="C89" s="51">
        <f t="shared" si="1"/>
        <v>45082</v>
      </c>
      <c r="D89" s="52"/>
      <c r="E89" s="52"/>
      <c r="F89" s="53"/>
      <c r="G89" s="53"/>
      <c r="H89" s="52"/>
      <c r="I89" s="52"/>
      <c r="J89" s="52"/>
      <c r="K89" s="53"/>
      <c r="L89" s="54"/>
      <c r="M89" s="3"/>
      <c r="N89" s="241" t="s">
        <v>62</v>
      </c>
      <c r="O89" s="242"/>
      <c r="P89" s="243"/>
    </row>
    <row r="90" spans="2:72" ht="23.25" customHeight="1" x14ac:dyDescent="0.2">
      <c r="B90" s="50">
        <v>11</v>
      </c>
      <c r="C90" s="51">
        <f t="shared" si="1"/>
        <v>45089</v>
      </c>
      <c r="D90" s="52"/>
      <c r="E90" s="52"/>
      <c r="F90" s="53"/>
      <c r="G90" s="53"/>
      <c r="H90" s="52"/>
      <c r="I90" s="52"/>
      <c r="J90" s="52"/>
      <c r="K90" s="53"/>
      <c r="L90" s="54"/>
      <c r="M90" s="3"/>
      <c r="N90" s="244" t="s">
        <v>63</v>
      </c>
      <c r="O90" s="245"/>
      <c r="P90" s="55">
        <f>SUM(D80:D93)</f>
        <v>0</v>
      </c>
    </row>
    <row r="91" spans="2:72" ht="23.25" customHeight="1" x14ac:dyDescent="0.2">
      <c r="B91" s="50">
        <v>12</v>
      </c>
      <c r="C91" s="51">
        <f t="shared" si="1"/>
        <v>45096</v>
      </c>
      <c r="D91" s="52"/>
      <c r="E91" s="52"/>
      <c r="F91" s="53"/>
      <c r="G91" s="53"/>
      <c r="H91" s="52"/>
      <c r="I91" s="52"/>
      <c r="J91" s="52"/>
      <c r="K91" s="53"/>
      <c r="L91" s="54"/>
      <c r="M91" s="3"/>
      <c r="N91" s="244" t="s">
        <v>64</v>
      </c>
      <c r="O91" s="245"/>
      <c r="P91" s="55">
        <f>SUM(G80:G93)</f>
        <v>0</v>
      </c>
    </row>
    <row r="92" spans="2:72" ht="23.25" customHeight="1" x14ac:dyDescent="0.2">
      <c r="B92" s="50">
        <v>13</v>
      </c>
      <c r="C92" s="51">
        <f t="shared" si="1"/>
        <v>45103</v>
      </c>
      <c r="D92" s="52"/>
      <c r="E92" s="52"/>
      <c r="F92" s="53"/>
      <c r="G92" s="53"/>
      <c r="H92" s="52"/>
      <c r="I92" s="52"/>
      <c r="J92" s="52"/>
      <c r="K92" s="53"/>
      <c r="L92" s="54"/>
      <c r="M92" s="3"/>
      <c r="N92" s="244" t="s">
        <v>65</v>
      </c>
      <c r="O92" s="245"/>
      <c r="P92" s="55">
        <f>SUM(J80:J93)</f>
        <v>0</v>
      </c>
    </row>
    <row r="93" spans="2:72" ht="23.25" customHeight="1" thickBot="1" x14ac:dyDescent="0.25">
      <c r="B93" s="56">
        <v>14</v>
      </c>
      <c r="C93" s="51">
        <f t="shared" si="1"/>
        <v>45110</v>
      </c>
      <c r="D93" s="57"/>
      <c r="E93" s="57"/>
      <c r="F93" s="58"/>
      <c r="G93" s="58"/>
      <c r="H93" s="57"/>
      <c r="I93" s="57"/>
      <c r="J93" s="57"/>
      <c r="K93" s="58"/>
      <c r="L93" s="59"/>
      <c r="M93" s="3"/>
      <c r="N93" s="246" t="s">
        <v>66</v>
      </c>
      <c r="O93" s="247"/>
      <c r="P93" s="60">
        <f>SUM(L80:L93)</f>
        <v>0</v>
      </c>
    </row>
    <row r="94" spans="2:72" ht="23.25" customHeight="1" x14ac:dyDescent="0.2">
      <c r="B94" s="45">
        <v>15</v>
      </c>
      <c r="C94" s="51">
        <f t="shared" si="1"/>
        <v>45117</v>
      </c>
      <c r="D94" s="47"/>
      <c r="E94" s="47"/>
      <c r="F94" s="48"/>
      <c r="G94" s="48"/>
      <c r="H94" s="47"/>
      <c r="I94" s="47"/>
      <c r="J94" s="47"/>
      <c r="K94" s="48"/>
      <c r="L94" s="49"/>
      <c r="M94" s="3"/>
      <c r="N94" s="3"/>
      <c r="O94" s="3"/>
      <c r="P94" s="3"/>
    </row>
    <row r="95" spans="2:72" s="1" customFormat="1" ht="23.25" customHeight="1" x14ac:dyDescent="0.2">
      <c r="B95" s="50">
        <v>16</v>
      </c>
      <c r="C95" s="51">
        <f t="shared" si="1"/>
        <v>45124</v>
      </c>
      <c r="D95" s="52"/>
      <c r="E95" s="52"/>
      <c r="F95" s="53"/>
      <c r="G95" s="53"/>
      <c r="H95" s="52"/>
      <c r="I95" s="52"/>
      <c r="J95" s="52"/>
      <c r="K95" s="53"/>
      <c r="L95" s="5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</row>
    <row r="96" spans="2:72" s="1" customFormat="1" ht="23.25" customHeight="1" x14ac:dyDescent="0.2">
      <c r="B96" s="50">
        <v>17</v>
      </c>
      <c r="C96" s="51">
        <f t="shared" si="1"/>
        <v>45131</v>
      </c>
      <c r="D96" s="52"/>
      <c r="E96" s="52"/>
      <c r="F96" s="53"/>
      <c r="G96" s="53"/>
      <c r="H96" s="52"/>
      <c r="I96" s="52"/>
      <c r="J96" s="52"/>
      <c r="K96" s="53"/>
      <c r="L96" s="5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</row>
    <row r="97" spans="2:72" s="1" customFormat="1" ht="23.25" customHeight="1" x14ac:dyDescent="0.2">
      <c r="B97" s="50">
        <v>18</v>
      </c>
      <c r="C97" s="51">
        <f t="shared" si="1"/>
        <v>45138</v>
      </c>
      <c r="D97" s="52"/>
      <c r="E97" s="52"/>
      <c r="F97" s="53"/>
      <c r="G97" s="53"/>
      <c r="H97" s="52"/>
      <c r="I97" s="52"/>
      <c r="J97" s="52"/>
      <c r="K97" s="53"/>
      <c r="L97" s="5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</row>
    <row r="98" spans="2:72" s="1" customFormat="1" ht="23.25" customHeight="1" x14ac:dyDescent="0.2">
      <c r="B98" s="50">
        <v>19</v>
      </c>
      <c r="C98" s="51">
        <f t="shared" si="1"/>
        <v>45145</v>
      </c>
      <c r="D98" s="52"/>
      <c r="E98" s="52"/>
      <c r="F98" s="53"/>
      <c r="G98" s="53"/>
      <c r="H98" s="52"/>
      <c r="I98" s="52"/>
      <c r="J98" s="52"/>
      <c r="K98" s="53"/>
      <c r="L98" s="5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</row>
    <row r="99" spans="2:72" s="1" customFormat="1" ht="23.25" customHeight="1" x14ac:dyDescent="0.2">
      <c r="B99" s="50">
        <v>20</v>
      </c>
      <c r="C99" s="51">
        <f t="shared" si="1"/>
        <v>45152</v>
      </c>
      <c r="D99" s="52"/>
      <c r="E99" s="52"/>
      <c r="F99" s="53"/>
      <c r="G99" s="53"/>
      <c r="H99" s="52"/>
      <c r="I99" s="52"/>
      <c r="J99" s="52"/>
      <c r="K99" s="53"/>
      <c r="L99" s="5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</row>
    <row r="100" spans="2:72" s="1" customFormat="1" ht="23.25" customHeight="1" x14ac:dyDescent="0.2">
      <c r="B100" s="50">
        <v>21</v>
      </c>
      <c r="C100" s="51">
        <f t="shared" si="1"/>
        <v>45159</v>
      </c>
      <c r="D100" s="52"/>
      <c r="E100" s="52"/>
      <c r="F100" s="53"/>
      <c r="G100" s="53"/>
      <c r="H100" s="52"/>
      <c r="I100" s="52"/>
      <c r="J100" s="52"/>
      <c r="K100" s="53"/>
      <c r="L100" s="5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</row>
    <row r="101" spans="2:72" s="1" customFormat="1" ht="23.25" customHeight="1" thickBot="1" x14ac:dyDescent="0.25">
      <c r="B101" s="50">
        <v>22</v>
      </c>
      <c r="C101" s="51">
        <f t="shared" si="1"/>
        <v>45166</v>
      </c>
      <c r="D101" s="52"/>
      <c r="E101" s="52"/>
      <c r="F101" s="53"/>
      <c r="G101" s="53"/>
      <c r="H101" s="52"/>
      <c r="I101" s="52"/>
      <c r="J101" s="52"/>
      <c r="K101" s="53"/>
      <c r="L101" s="54"/>
      <c r="M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</row>
    <row r="102" spans="2:72" s="1" customFormat="1" ht="23.25" customHeight="1" x14ac:dyDescent="0.2">
      <c r="B102" s="50">
        <v>23</v>
      </c>
      <c r="C102" s="51">
        <f t="shared" si="1"/>
        <v>45173</v>
      </c>
      <c r="D102" s="52"/>
      <c r="E102" s="52"/>
      <c r="F102" s="53"/>
      <c r="G102" s="53"/>
      <c r="H102" s="52"/>
      <c r="I102" s="52"/>
      <c r="J102" s="52"/>
      <c r="K102" s="53"/>
      <c r="L102" s="54"/>
      <c r="M102" s="3"/>
      <c r="N102" s="241" t="s">
        <v>67</v>
      </c>
      <c r="O102" s="242"/>
      <c r="P102" s="24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</row>
    <row r="103" spans="2:72" s="1" customFormat="1" ht="23.25" customHeight="1" x14ac:dyDescent="0.2">
      <c r="B103" s="50">
        <v>24</v>
      </c>
      <c r="C103" s="51">
        <f t="shared" si="1"/>
        <v>45180</v>
      </c>
      <c r="D103" s="52"/>
      <c r="E103" s="52"/>
      <c r="F103" s="53"/>
      <c r="G103" s="53"/>
      <c r="H103" s="52"/>
      <c r="I103" s="52"/>
      <c r="J103" s="52"/>
      <c r="K103" s="53"/>
      <c r="L103" s="54"/>
      <c r="M103" s="3"/>
      <c r="N103" s="244" t="s">
        <v>63</v>
      </c>
      <c r="O103" s="245"/>
      <c r="P103" s="55">
        <f>SUM(D94:D106)</f>
        <v>0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</row>
    <row r="104" spans="2:72" s="1" customFormat="1" ht="23.25" customHeight="1" x14ac:dyDescent="0.2">
      <c r="B104" s="50">
        <v>25</v>
      </c>
      <c r="C104" s="51">
        <f t="shared" si="1"/>
        <v>45187</v>
      </c>
      <c r="D104" s="52"/>
      <c r="E104" s="52"/>
      <c r="F104" s="53"/>
      <c r="G104" s="53"/>
      <c r="H104" s="52"/>
      <c r="I104" s="52"/>
      <c r="J104" s="52"/>
      <c r="K104" s="53"/>
      <c r="L104" s="54"/>
      <c r="M104" s="3"/>
      <c r="N104" s="244" t="s">
        <v>64</v>
      </c>
      <c r="O104" s="245"/>
      <c r="P104" s="55">
        <f>SUM(G94:G106)</f>
        <v>0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</row>
    <row r="105" spans="2:72" s="1" customFormat="1" ht="23.25" customHeight="1" x14ac:dyDescent="0.2">
      <c r="B105" s="50">
        <v>26</v>
      </c>
      <c r="C105" s="51">
        <f t="shared" si="1"/>
        <v>45194</v>
      </c>
      <c r="D105" s="52"/>
      <c r="E105" s="52"/>
      <c r="F105" s="53"/>
      <c r="G105" s="53"/>
      <c r="H105" s="52"/>
      <c r="I105" s="52"/>
      <c r="J105" s="52"/>
      <c r="K105" s="53"/>
      <c r="L105" s="54"/>
      <c r="M105" s="3"/>
      <c r="N105" s="244" t="s">
        <v>65</v>
      </c>
      <c r="O105" s="245"/>
      <c r="P105" s="55">
        <f>SUM(J94:J106)</f>
        <v>0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</row>
    <row r="106" spans="2:72" s="1" customFormat="1" ht="23.25" customHeight="1" thickBot="1" x14ac:dyDescent="0.25">
      <c r="B106" s="56">
        <v>27</v>
      </c>
      <c r="C106" s="51">
        <f t="shared" si="1"/>
        <v>45201</v>
      </c>
      <c r="D106" s="57"/>
      <c r="E106" s="57"/>
      <c r="F106" s="58"/>
      <c r="G106" s="58"/>
      <c r="H106" s="57"/>
      <c r="I106" s="57"/>
      <c r="J106" s="57"/>
      <c r="K106" s="58"/>
      <c r="L106" s="59"/>
      <c r="M106" s="3"/>
      <c r="N106" s="246" t="s">
        <v>66</v>
      </c>
      <c r="O106" s="247"/>
      <c r="P106" s="60">
        <f>SUM(L94:L106)</f>
        <v>0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</row>
    <row r="107" spans="2:72" s="1" customFormat="1" ht="23.25" customHeight="1" x14ac:dyDescent="0.2">
      <c r="B107" s="45">
        <v>28</v>
      </c>
      <c r="C107" s="51">
        <f t="shared" si="1"/>
        <v>45208</v>
      </c>
      <c r="D107" s="47"/>
      <c r="E107" s="47"/>
      <c r="F107" s="48"/>
      <c r="G107" s="48"/>
      <c r="H107" s="47"/>
      <c r="I107" s="47"/>
      <c r="J107" s="47"/>
      <c r="K107" s="48"/>
      <c r="L107" s="49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</row>
    <row r="108" spans="2:72" s="1" customFormat="1" ht="23.25" customHeight="1" x14ac:dyDescent="0.2">
      <c r="B108" s="50">
        <v>29</v>
      </c>
      <c r="C108" s="51">
        <f t="shared" si="1"/>
        <v>45215</v>
      </c>
      <c r="D108" s="52"/>
      <c r="E108" s="52"/>
      <c r="F108" s="53"/>
      <c r="G108" s="53"/>
      <c r="H108" s="52"/>
      <c r="I108" s="52"/>
      <c r="J108" s="52"/>
      <c r="K108" s="53"/>
      <c r="L108" s="5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</row>
    <row r="109" spans="2:72" s="1" customFormat="1" ht="23.25" customHeight="1" x14ac:dyDescent="0.2">
      <c r="B109" s="50">
        <v>30</v>
      </c>
      <c r="C109" s="51">
        <f t="shared" si="1"/>
        <v>45222</v>
      </c>
      <c r="D109" s="52"/>
      <c r="E109" s="52"/>
      <c r="F109" s="53"/>
      <c r="G109" s="53"/>
      <c r="H109" s="52"/>
      <c r="I109" s="52"/>
      <c r="J109" s="52"/>
      <c r="K109" s="53"/>
      <c r="L109" s="5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</row>
    <row r="110" spans="2:72" s="1" customFormat="1" ht="23.25" customHeight="1" x14ac:dyDescent="0.2">
      <c r="B110" s="50">
        <v>31</v>
      </c>
      <c r="C110" s="51">
        <f t="shared" si="1"/>
        <v>45229</v>
      </c>
      <c r="D110" s="52"/>
      <c r="E110" s="52"/>
      <c r="F110" s="53"/>
      <c r="G110" s="53"/>
      <c r="H110" s="52"/>
      <c r="I110" s="52"/>
      <c r="J110" s="52"/>
      <c r="K110" s="53"/>
      <c r="L110" s="5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</row>
    <row r="111" spans="2:72" s="1" customFormat="1" ht="23.25" customHeight="1" x14ac:dyDescent="0.2">
      <c r="B111" s="50">
        <v>32</v>
      </c>
      <c r="C111" s="51">
        <f t="shared" si="1"/>
        <v>45236</v>
      </c>
      <c r="D111" s="52"/>
      <c r="E111" s="52"/>
      <c r="F111" s="53"/>
      <c r="G111" s="53"/>
      <c r="H111" s="52"/>
      <c r="I111" s="52"/>
      <c r="J111" s="52"/>
      <c r="K111" s="53"/>
      <c r="L111" s="5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</row>
    <row r="112" spans="2:72" s="1" customFormat="1" ht="23.25" customHeight="1" x14ac:dyDescent="0.2">
      <c r="B112" s="50">
        <v>33</v>
      </c>
      <c r="C112" s="51">
        <f t="shared" si="1"/>
        <v>45243</v>
      </c>
      <c r="D112" s="52"/>
      <c r="E112" s="52"/>
      <c r="F112" s="53"/>
      <c r="G112" s="53"/>
      <c r="H112" s="52"/>
      <c r="I112" s="52"/>
      <c r="J112" s="52"/>
      <c r="K112" s="53"/>
      <c r="L112" s="5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</row>
    <row r="113" spans="2:72" s="1" customFormat="1" ht="23.25" customHeight="1" x14ac:dyDescent="0.2">
      <c r="B113" s="50">
        <v>34</v>
      </c>
      <c r="C113" s="51">
        <f t="shared" si="1"/>
        <v>45250</v>
      </c>
      <c r="D113" s="52"/>
      <c r="E113" s="52"/>
      <c r="F113" s="53"/>
      <c r="G113" s="53"/>
      <c r="H113" s="52"/>
      <c r="I113" s="52"/>
      <c r="J113" s="52"/>
      <c r="K113" s="53"/>
      <c r="L113" s="5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</row>
    <row r="114" spans="2:72" s="1" customFormat="1" ht="23.25" customHeight="1" thickBot="1" x14ac:dyDescent="0.25">
      <c r="B114" s="50">
        <v>35</v>
      </c>
      <c r="C114" s="51">
        <f t="shared" si="1"/>
        <v>45257</v>
      </c>
      <c r="D114" s="52"/>
      <c r="E114" s="52"/>
      <c r="F114" s="53"/>
      <c r="G114" s="53"/>
      <c r="H114" s="52"/>
      <c r="I114" s="52"/>
      <c r="J114" s="52"/>
      <c r="K114" s="53"/>
      <c r="L114" s="5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</row>
    <row r="115" spans="2:72" s="1" customFormat="1" ht="23.25" customHeight="1" x14ac:dyDescent="0.2">
      <c r="B115" s="50">
        <v>36</v>
      </c>
      <c r="C115" s="51">
        <f t="shared" si="1"/>
        <v>45264</v>
      </c>
      <c r="D115" s="52"/>
      <c r="E115" s="52"/>
      <c r="F115" s="53"/>
      <c r="G115" s="53"/>
      <c r="H115" s="52"/>
      <c r="I115" s="52"/>
      <c r="J115" s="52"/>
      <c r="K115" s="53"/>
      <c r="L115" s="54"/>
      <c r="M115" s="3"/>
      <c r="N115" s="241" t="s">
        <v>68</v>
      </c>
      <c r="O115" s="242"/>
      <c r="P115" s="24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</row>
    <row r="116" spans="2:72" s="1" customFormat="1" ht="23.25" customHeight="1" x14ac:dyDescent="0.2">
      <c r="B116" s="50">
        <v>37</v>
      </c>
      <c r="C116" s="51">
        <f t="shared" si="1"/>
        <v>45271</v>
      </c>
      <c r="D116" s="52"/>
      <c r="E116" s="52"/>
      <c r="F116" s="53"/>
      <c r="G116" s="53"/>
      <c r="H116" s="52"/>
      <c r="I116" s="52"/>
      <c r="J116" s="52"/>
      <c r="K116" s="53"/>
      <c r="L116" s="54"/>
      <c r="M116" s="3"/>
      <c r="N116" s="244" t="s">
        <v>63</v>
      </c>
      <c r="O116" s="245"/>
      <c r="P116" s="55">
        <f>SUM(D107:D119)</f>
        <v>0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</row>
    <row r="117" spans="2:72" s="1" customFormat="1" ht="23.25" customHeight="1" x14ac:dyDescent="0.2">
      <c r="B117" s="50">
        <v>38</v>
      </c>
      <c r="C117" s="51">
        <f t="shared" si="1"/>
        <v>45278</v>
      </c>
      <c r="D117" s="52"/>
      <c r="E117" s="52"/>
      <c r="F117" s="53"/>
      <c r="G117" s="53"/>
      <c r="H117" s="52"/>
      <c r="I117" s="52"/>
      <c r="J117" s="52"/>
      <c r="K117" s="53"/>
      <c r="L117" s="54"/>
      <c r="M117" s="3"/>
      <c r="N117" s="251" t="s">
        <v>64</v>
      </c>
      <c r="O117" s="252"/>
      <c r="P117" s="55">
        <f>SUM(G107:G119)</f>
        <v>0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</row>
    <row r="118" spans="2:72" s="1" customFormat="1" ht="23.25" customHeight="1" x14ac:dyDescent="0.2">
      <c r="B118" s="50">
        <v>39</v>
      </c>
      <c r="C118" s="51">
        <f t="shared" si="1"/>
        <v>45285</v>
      </c>
      <c r="D118" s="52"/>
      <c r="E118" s="52"/>
      <c r="F118" s="53"/>
      <c r="G118" s="53"/>
      <c r="H118" s="52"/>
      <c r="I118" s="52"/>
      <c r="J118" s="52"/>
      <c r="K118" s="53"/>
      <c r="L118" s="54"/>
      <c r="M118" s="3"/>
      <c r="N118" s="251" t="s">
        <v>65</v>
      </c>
      <c r="O118" s="252"/>
      <c r="P118" s="55">
        <f>SUM(J107:J119)</f>
        <v>0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</row>
    <row r="119" spans="2:72" s="1" customFormat="1" ht="23.25" customHeight="1" thickBot="1" x14ac:dyDescent="0.25">
      <c r="B119" s="56">
        <v>40</v>
      </c>
      <c r="C119" s="51">
        <f t="shared" si="1"/>
        <v>45292</v>
      </c>
      <c r="D119" s="57"/>
      <c r="E119" s="57"/>
      <c r="F119" s="58"/>
      <c r="G119" s="58"/>
      <c r="H119" s="57"/>
      <c r="I119" s="57"/>
      <c r="J119" s="57"/>
      <c r="K119" s="58"/>
      <c r="L119" s="59"/>
      <c r="M119" s="3"/>
      <c r="N119" s="253" t="s">
        <v>66</v>
      </c>
      <c r="O119" s="254"/>
      <c r="P119" s="60">
        <f>SUM(L107:L119)</f>
        <v>0</v>
      </c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</row>
    <row r="120" spans="2:72" s="1" customFormat="1" ht="23.25" customHeight="1" x14ac:dyDescent="0.2">
      <c r="B120" s="61">
        <v>41</v>
      </c>
      <c r="C120" s="51">
        <f t="shared" si="1"/>
        <v>45299</v>
      </c>
      <c r="D120" s="62"/>
      <c r="E120" s="62"/>
      <c r="F120" s="63"/>
      <c r="G120" s="63"/>
      <c r="H120" s="62"/>
      <c r="I120" s="62"/>
      <c r="J120" s="62"/>
      <c r="K120" s="63"/>
      <c r="L120" s="6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</row>
    <row r="121" spans="2:72" s="1" customFormat="1" ht="23.25" customHeight="1" x14ac:dyDescent="0.2">
      <c r="B121" s="50">
        <v>42</v>
      </c>
      <c r="C121" s="51">
        <f t="shared" si="1"/>
        <v>45306</v>
      </c>
      <c r="D121" s="52"/>
      <c r="E121" s="52"/>
      <c r="F121" s="53"/>
      <c r="G121" s="53"/>
      <c r="H121" s="52"/>
      <c r="I121" s="52"/>
      <c r="J121" s="52"/>
      <c r="K121" s="53"/>
      <c r="L121" s="5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</row>
    <row r="122" spans="2:72" s="1" customFormat="1" ht="23.25" customHeight="1" x14ac:dyDescent="0.2">
      <c r="B122" s="50">
        <v>43</v>
      </c>
      <c r="C122" s="51">
        <f t="shared" si="1"/>
        <v>45313</v>
      </c>
      <c r="D122" s="52"/>
      <c r="E122" s="52"/>
      <c r="F122" s="53"/>
      <c r="G122" s="53"/>
      <c r="H122" s="52"/>
      <c r="I122" s="52"/>
      <c r="J122" s="52"/>
      <c r="K122" s="53"/>
      <c r="L122" s="5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</row>
    <row r="123" spans="2:72" s="1" customFormat="1" ht="23.25" customHeight="1" x14ac:dyDescent="0.2">
      <c r="B123" s="50">
        <v>44</v>
      </c>
      <c r="C123" s="51">
        <f t="shared" si="1"/>
        <v>45320</v>
      </c>
      <c r="D123" s="52"/>
      <c r="E123" s="52"/>
      <c r="F123" s="53"/>
      <c r="G123" s="53"/>
      <c r="H123" s="52"/>
      <c r="I123" s="52"/>
      <c r="J123" s="52"/>
      <c r="K123" s="53"/>
      <c r="L123" s="5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</row>
    <row r="124" spans="2:72" s="1" customFormat="1" ht="23.25" customHeight="1" x14ac:dyDescent="0.2">
      <c r="B124" s="50">
        <v>45</v>
      </c>
      <c r="C124" s="51">
        <f t="shared" si="1"/>
        <v>45327</v>
      </c>
      <c r="D124" s="52"/>
      <c r="E124" s="52"/>
      <c r="F124" s="53"/>
      <c r="G124" s="53"/>
      <c r="H124" s="52"/>
      <c r="I124" s="52"/>
      <c r="J124" s="52"/>
      <c r="K124" s="53"/>
      <c r="L124" s="5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</row>
    <row r="125" spans="2:72" s="1" customFormat="1" ht="23.25" customHeight="1" x14ac:dyDescent="0.2">
      <c r="B125" s="50">
        <v>46</v>
      </c>
      <c r="C125" s="51">
        <f t="shared" si="1"/>
        <v>45334</v>
      </c>
      <c r="D125" s="52"/>
      <c r="E125" s="52"/>
      <c r="F125" s="53"/>
      <c r="G125" s="53"/>
      <c r="H125" s="52"/>
      <c r="I125" s="52"/>
      <c r="J125" s="52"/>
      <c r="K125" s="53"/>
      <c r="L125" s="5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</row>
    <row r="126" spans="2:72" s="1" customFormat="1" ht="23.25" customHeight="1" x14ac:dyDescent="0.2">
      <c r="B126" s="50">
        <v>47</v>
      </c>
      <c r="C126" s="51">
        <f t="shared" si="1"/>
        <v>45341</v>
      </c>
      <c r="D126" s="52"/>
      <c r="E126" s="52"/>
      <c r="F126" s="53"/>
      <c r="G126" s="53"/>
      <c r="H126" s="52"/>
      <c r="I126" s="52"/>
      <c r="J126" s="52"/>
      <c r="K126" s="53"/>
      <c r="L126" s="5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</row>
    <row r="127" spans="2:72" s="1" customFormat="1" ht="23.25" customHeight="1" x14ac:dyDescent="0.2">
      <c r="B127" s="50">
        <v>48</v>
      </c>
      <c r="C127" s="51">
        <f t="shared" si="1"/>
        <v>45348</v>
      </c>
      <c r="D127" s="52"/>
      <c r="E127" s="52"/>
      <c r="F127" s="53"/>
      <c r="G127" s="53"/>
      <c r="H127" s="52"/>
      <c r="I127" s="52"/>
      <c r="J127" s="52"/>
      <c r="K127" s="53"/>
      <c r="L127" s="5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</row>
    <row r="128" spans="2:72" s="1" customFormat="1" ht="23.25" customHeight="1" thickBot="1" x14ac:dyDescent="0.25">
      <c r="B128" s="50">
        <v>49</v>
      </c>
      <c r="C128" s="51">
        <f t="shared" si="1"/>
        <v>45355</v>
      </c>
      <c r="D128" s="52"/>
      <c r="E128" s="52"/>
      <c r="F128" s="53"/>
      <c r="G128" s="53"/>
      <c r="H128" s="52"/>
      <c r="I128" s="52"/>
      <c r="J128" s="52"/>
      <c r="K128" s="53"/>
      <c r="L128" s="5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</row>
    <row r="129" spans="2:72" s="1" customFormat="1" ht="23.25" customHeight="1" x14ac:dyDescent="0.2">
      <c r="B129" s="50">
        <v>50</v>
      </c>
      <c r="C129" s="51">
        <f t="shared" si="1"/>
        <v>45362</v>
      </c>
      <c r="D129" s="52"/>
      <c r="E129" s="52"/>
      <c r="F129" s="53"/>
      <c r="G129" s="53"/>
      <c r="H129" s="52"/>
      <c r="I129" s="52"/>
      <c r="J129" s="52"/>
      <c r="K129" s="53"/>
      <c r="L129" s="54"/>
      <c r="M129" s="3"/>
      <c r="N129" s="241" t="s">
        <v>69</v>
      </c>
      <c r="O129" s="242"/>
      <c r="P129" s="24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</row>
    <row r="130" spans="2:72" s="1" customFormat="1" ht="23.25" customHeight="1" x14ac:dyDescent="0.2">
      <c r="B130" s="50">
        <v>51</v>
      </c>
      <c r="C130" s="51">
        <f t="shared" si="1"/>
        <v>45369</v>
      </c>
      <c r="D130" s="52"/>
      <c r="E130" s="52"/>
      <c r="F130" s="53"/>
      <c r="G130" s="53"/>
      <c r="H130" s="52"/>
      <c r="I130" s="52"/>
      <c r="J130" s="52"/>
      <c r="K130" s="53"/>
      <c r="L130" s="54"/>
      <c r="M130" s="3"/>
      <c r="N130" s="251" t="s">
        <v>70</v>
      </c>
      <c r="O130" s="252"/>
      <c r="P130" s="55">
        <f>SUM(D120:D132)</f>
        <v>0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</row>
    <row r="131" spans="2:72" s="1" customFormat="1" ht="23.25" customHeight="1" x14ac:dyDescent="0.2">
      <c r="B131" s="50">
        <v>52</v>
      </c>
      <c r="C131" s="51">
        <f t="shared" si="1"/>
        <v>45376</v>
      </c>
      <c r="D131" s="52"/>
      <c r="E131" s="52"/>
      <c r="F131" s="53"/>
      <c r="G131" s="53"/>
      <c r="H131" s="52"/>
      <c r="I131" s="52"/>
      <c r="J131" s="52"/>
      <c r="K131" s="53"/>
      <c r="L131" s="54"/>
      <c r="M131" s="3"/>
      <c r="N131" s="251" t="s">
        <v>64</v>
      </c>
      <c r="O131" s="252"/>
      <c r="P131" s="55">
        <f>SUM(G120:G132)</f>
        <v>0</v>
      </c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</row>
    <row r="132" spans="2:72" s="1" customFormat="1" ht="23.25" customHeight="1" x14ac:dyDescent="0.2">
      <c r="B132" s="50">
        <v>53</v>
      </c>
      <c r="C132" s="51"/>
      <c r="D132" s="52"/>
      <c r="E132" s="52"/>
      <c r="F132" s="53"/>
      <c r="G132" s="53"/>
      <c r="H132" s="52"/>
      <c r="I132" s="52"/>
      <c r="J132" s="52"/>
      <c r="K132" s="53"/>
      <c r="L132" s="54"/>
      <c r="M132" s="3"/>
      <c r="N132" s="251" t="s">
        <v>65</v>
      </c>
      <c r="O132" s="252"/>
      <c r="P132" s="55">
        <f>SUM(J120:J132)</f>
        <v>0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</row>
    <row r="133" spans="2:72" s="1" customFormat="1" ht="17" thickBot="1" x14ac:dyDescent="0.25">
      <c r="B133" s="65"/>
      <c r="C133" s="66" t="s">
        <v>71</v>
      </c>
      <c r="D133" s="67" t="s">
        <v>72</v>
      </c>
      <c r="E133" s="67" t="s">
        <v>72</v>
      </c>
      <c r="F133" s="67" t="s">
        <v>72</v>
      </c>
      <c r="G133" s="67" t="s">
        <v>72</v>
      </c>
      <c r="H133" s="67" t="s">
        <v>72</v>
      </c>
      <c r="I133" s="67" t="s">
        <v>72</v>
      </c>
      <c r="J133" s="67" t="s">
        <v>72</v>
      </c>
      <c r="K133" s="67" t="s">
        <v>72</v>
      </c>
      <c r="L133" s="68" t="s">
        <v>72</v>
      </c>
      <c r="M133" s="3"/>
      <c r="N133" s="253" t="s">
        <v>66</v>
      </c>
      <c r="O133" s="254"/>
      <c r="P133" s="60">
        <f>SUM(L120:L132)</f>
        <v>0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</row>
    <row r="134" spans="2:72" s="1" customFormat="1" ht="17" thickBot="1" x14ac:dyDescent="0.25">
      <c r="B134" s="42"/>
      <c r="C134" s="69"/>
      <c r="D134" s="70">
        <f t="shared" ref="D134:L134" si="2">SUM(D80:D132)</f>
        <v>0</v>
      </c>
      <c r="E134" s="70">
        <f t="shared" si="2"/>
        <v>0</v>
      </c>
      <c r="F134" s="70">
        <f t="shared" si="2"/>
        <v>0</v>
      </c>
      <c r="G134" s="70">
        <f t="shared" si="2"/>
        <v>0</v>
      </c>
      <c r="H134" s="70">
        <f t="shared" si="2"/>
        <v>0</v>
      </c>
      <c r="I134" s="70">
        <f t="shared" si="2"/>
        <v>0</v>
      </c>
      <c r="J134" s="70">
        <f t="shared" si="2"/>
        <v>0</v>
      </c>
      <c r="K134" s="70">
        <f t="shared" si="2"/>
        <v>0</v>
      </c>
      <c r="L134" s="71">
        <f t="shared" si="2"/>
        <v>0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</row>
    <row r="135" spans="2:72" s="1" customFormat="1" x14ac:dyDescent="0.2">
      <c r="C135" s="2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</row>
    <row r="136" spans="2:72" s="1" customFormat="1" x14ac:dyDescent="0.2">
      <c r="C136" s="2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</row>
    <row r="137" spans="2:72" s="1" customFormat="1" x14ac:dyDescent="0.2">
      <c r="C137" s="2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</row>
    <row r="138" spans="2:72" s="1" customFormat="1" x14ac:dyDescent="0.2">
      <c r="C138" s="2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</row>
    <row r="139" spans="2:72" s="1" customFormat="1" x14ac:dyDescent="0.2">
      <c r="C139" s="2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</row>
    <row r="140" spans="2:72" s="1" customFormat="1" x14ac:dyDescent="0.2">
      <c r="C140" s="2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</row>
    <row r="141" spans="2:72" s="1" customFormat="1" x14ac:dyDescent="0.2">
      <c r="C141" s="2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</row>
    <row r="142" spans="2:72" s="1" customFormat="1" x14ac:dyDescent="0.2">
      <c r="C142" s="2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</row>
    <row r="143" spans="2:72" s="1" customFormat="1" x14ac:dyDescent="0.2">
      <c r="C143" s="2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</row>
    <row r="144" spans="2:72" s="1" customFormat="1" x14ac:dyDescent="0.2">
      <c r="C144" s="2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</row>
    <row r="145" spans="2:72" s="1" customFormat="1" x14ac:dyDescent="0.2">
      <c r="C145" s="2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</row>
    <row r="146" spans="2:72" s="1" customFormat="1" x14ac:dyDescent="0.2">
      <c r="C146" s="2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</row>
    <row r="147" spans="2:72" s="1" customFormat="1" x14ac:dyDescent="0.2">
      <c r="C147" s="2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</row>
    <row r="148" spans="2:72" x14ac:dyDescent="0.2"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3"/>
    </row>
    <row r="149" spans="2:72" s="3" customFormat="1" x14ac:dyDescent="0.2"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2:72" s="3" customFormat="1" x14ac:dyDescent="0.2"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2:72" s="3" customFormat="1" x14ac:dyDescent="0.2"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2:72" s="3" customFormat="1" x14ac:dyDescent="0.2"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2:72" s="3" customFormat="1" x14ac:dyDescent="0.2"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2:72" s="3" customFormat="1" x14ac:dyDescent="0.2"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2:72" s="3" customFormat="1" x14ac:dyDescent="0.2"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2:72" s="3" customFormat="1" x14ac:dyDescent="0.2"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2:72" s="3" customFormat="1" x14ac:dyDescent="0.2"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2:72" s="3" customFormat="1" x14ac:dyDescent="0.2"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74"/>
    </row>
    <row r="159" spans="2:72" s="3" customFormat="1" x14ac:dyDescent="0.2"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74"/>
    </row>
    <row r="160" spans="2:72" s="3" customFormat="1" x14ac:dyDescent="0.2"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74"/>
    </row>
    <row r="161" spans="2:16" s="3" customFormat="1" x14ac:dyDescent="0.2"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74"/>
    </row>
    <row r="162" spans="2:16" s="3" customFormat="1" x14ac:dyDescent="0.2"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74"/>
    </row>
    <row r="163" spans="2:16" s="3" customFormat="1" x14ac:dyDescent="0.2"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74"/>
    </row>
    <row r="164" spans="2:16" s="3" customFormat="1" x14ac:dyDescent="0.2">
      <c r="B164"/>
      <c r="C164" s="72"/>
      <c r="D164"/>
      <c r="E164"/>
      <c r="F164"/>
      <c r="G164"/>
      <c r="H164"/>
      <c r="I164"/>
      <c r="J164"/>
      <c r="K164"/>
      <c r="L164"/>
      <c r="M164"/>
      <c r="N164"/>
      <c r="O164"/>
      <c r="P164" s="74"/>
    </row>
    <row r="165" spans="2:16" s="3" customFormat="1" x14ac:dyDescent="0.2">
      <c r="C165" s="73"/>
      <c r="P165" s="74"/>
    </row>
    <row r="166" spans="2:16" s="3" customFormat="1" x14ac:dyDescent="0.2">
      <c r="C166" s="73"/>
      <c r="P166" s="74"/>
    </row>
    <row r="167" spans="2:16" s="3" customFormat="1" x14ac:dyDescent="0.2">
      <c r="C167" s="73"/>
      <c r="P167" s="74"/>
    </row>
    <row r="168" spans="2:16" s="3" customFormat="1" x14ac:dyDescent="0.2">
      <c r="C168" s="73"/>
      <c r="P168" s="74"/>
    </row>
    <row r="169" spans="2:16" s="3" customFormat="1" x14ac:dyDescent="0.2">
      <c r="C169" s="73"/>
      <c r="P169" s="74"/>
    </row>
    <row r="170" spans="2:16" s="3" customFormat="1" x14ac:dyDescent="0.2">
      <c r="C170" s="73"/>
      <c r="P170" s="74"/>
    </row>
    <row r="171" spans="2:16" s="3" customFormat="1" x14ac:dyDescent="0.2">
      <c r="C171" s="73"/>
      <c r="P171" s="74"/>
    </row>
    <row r="172" spans="2:16" s="3" customFormat="1" x14ac:dyDescent="0.2">
      <c r="C172" s="73"/>
      <c r="P172" s="74"/>
    </row>
    <row r="173" spans="2:16" s="3" customFormat="1" x14ac:dyDescent="0.2">
      <c r="C173" s="73"/>
      <c r="P173" s="74"/>
    </row>
    <row r="174" spans="2:16" s="3" customFormat="1" x14ac:dyDescent="0.2">
      <c r="C174" s="73"/>
      <c r="P174" s="74"/>
    </row>
    <row r="175" spans="2:16" s="3" customFormat="1" x14ac:dyDescent="0.2">
      <c r="C175" s="73"/>
      <c r="P175" s="74"/>
    </row>
    <row r="176" spans="2:16" s="3" customFormat="1" x14ac:dyDescent="0.2">
      <c r="C176" s="73"/>
      <c r="P176" s="74"/>
    </row>
    <row r="177" spans="3:16" s="3" customFormat="1" x14ac:dyDescent="0.2">
      <c r="C177" s="73"/>
      <c r="P177" s="74"/>
    </row>
    <row r="178" spans="3:16" s="3" customFormat="1" x14ac:dyDescent="0.2">
      <c r="C178" s="73"/>
      <c r="P178" s="74"/>
    </row>
    <row r="179" spans="3:16" s="3" customFormat="1" x14ac:dyDescent="0.2">
      <c r="C179" s="73"/>
      <c r="P179" s="74"/>
    </row>
    <row r="180" spans="3:16" s="3" customFormat="1" x14ac:dyDescent="0.2">
      <c r="C180" s="73"/>
      <c r="P180" s="74"/>
    </row>
    <row r="181" spans="3:16" s="3" customFormat="1" x14ac:dyDescent="0.2">
      <c r="C181" s="73"/>
      <c r="P181" s="74"/>
    </row>
    <row r="182" spans="3:16" s="3" customFormat="1" x14ac:dyDescent="0.2">
      <c r="C182" s="73"/>
      <c r="P182" s="74"/>
    </row>
    <row r="183" spans="3:16" s="3" customFormat="1" x14ac:dyDescent="0.2">
      <c r="C183" s="73"/>
      <c r="P183" s="74"/>
    </row>
    <row r="184" spans="3:16" s="3" customFormat="1" x14ac:dyDescent="0.2">
      <c r="C184" s="73"/>
      <c r="P184" s="74"/>
    </row>
    <row r="185" spans="3:16" s="3" customFormat="1" x14ac:dyDescent="0.2">
      <c r="C185" s="73"/>
      <c r="P185" s="74"/>
    </row>
    <row r="186" spans="3:16" s="3" customFormat="1" x14ac:dyDescent="0.2">
      <c r="C186" s="73"/>
      <c r="P186" s="74"/>
    </row>
    <row r="187" spans="3:16" s="3" customFormat="1" x14ac:dyDescent="0.2">
      <c r="C187" s="73"/>
      <c r="P187" s="74"/>
    </row>
    <row r="188" spans="3:16" s="3" customFormat="1" x14ac:dyDescent="0.2">
      <c r="C188" s="73"/>
      <c r="P188" s="74"/>
    </row>
    <row r="189" spans="3:16" s="3" customFormat="1" x14ac:dyDescent="0.2">
      <c r="C189" s="73"/>
      <c r="P189" s="74"/>
    </row>
    <row r="190" spans="3:16" s="3" customFormat="1" x14ac:dyDescent="0.2">
      <c r="C190" s="73"/>
      <c r="P190" s="74"/>
    </row>
    <row r="191" spans="3:16" s="3" customFormat="1" x14ac:dyDescent="0.2">
      <c r="C191" s="73"/>
      <c r="P191" s="74"/>
    </row>
    <row r="192" spans="3:16" s="3" customFormat="1" x14ac:dyDescent="0.2">
      <c r="C192" s="73"/>
      <c r="P192" s="74"/>
    </row>
    <row r="193" spans="3:16" s="3" customFormat="1" x14ac:dyDescent="0.2">
      <c r="C193" s="73"/>
      <c r="P193" s="74"/>
    </row>
    <row r="194" spans="3:16" s="3" customFormat="1" x14ac:dyDescent="0.2">
      <c r="C194" s="73"/>
      <c r="P194" s="74"/>
    </row>
    <row r="195" spans="3:16" s="3" customFormat="1" x14ac:dyDescent="0.2">
      <c r="C195" s="73"/>
      <c r="P195" s="74"/>
    </row>
    <row r="196" spans="3:16" s="3" customFormat="1" x14ac:dyDescent="0.2">
      <c r="C196" s="73"/>
      <c r="P196" s="74"/>
    </row>
    <row r="197" spans="3:16" s="3" customFormat="1" x14ac:dyDescent="0.2">
      <c r="C197" s="73"/>
      <c r="P197" s="74"/>
    </row>
    <row r="198" spans="3:16" s="3" customFormat="1" x14ac:dyDescent="0.2">
      <c r="C198" s="73"/>
      <c r="P198" s="74"/>
    </row>
    <row r="199" spans="3:16" s="3" customFormat="1" x14ac:dyDescent="0.2">
      <c r="C199" s="73"/>
      <c r="P199" s="74"/>
    </row>
    <row r="200" spans="3:16" s="3" customFormat="1" x14ac:dyDescent="0.2">
      <c r="C200" s="73"/>
      <c r="P200" s="74"/>
    </row>
    <row r="201" spans="3:16" s="3" customFormat="1" x14ac:dyDescent="0.2">
      <c r="C201" s="73"/>
      <c r="P201" s="74"/>
    </row>
    <row r="202" spans="3:16" s="3" customFormat="1" x14ac:dyDescent="0.2">
      <c r="C202" s="73"/>
      <c r="P202" s="74"/>
    </row>
    <row r="203" spans="3:16" s="3" customFormat="1" x14ac:dyDescent="0.2">
      <c r="C203" s="73"/>
      <c r="P203" s="74"/>
    </row>
    <row r="204" spans="3:16" s="3" customFormat="1" x14ac:dyDescent="0.2">
      <c r="C204" s="73"/>
      <c r="P204" s="74"/>
    </row>
    <row r="205" spans="3:16" s="3" customFormat="1" x14ac:dyDescent="0.2">
      <c r="C205" s="73"/>
      <c r="P205" s="74"/>
    </row>
    <row r="206" spans="3:16" s="3" customFormat="1" x14ac:dyDescent="0.2">
      <c r="C206" s="73"/>
      <c r="P206" s="74"/>
    </row>
    <row r="207" spans="3:16" s="3" customFormat="1" x14ac:dyDescent="0.2">
      <c r="C207" s="73"/>
      <c r="P207" s="74"/>
    </row>
    <row r="208" spans="3:16" s="3" customFormat="1" x14ac:dyDescent="0.2">
      <c r="C208" s="73"/>
      <c r="P208" s="74"/>
    </row>
  </sheetData>
  <mergeCells count="280">
    <mergeCell ref="N131:O131"/>
    <mergeCell ref="N132:O132"/>
    <mergeCell ref="N133:O133"/>
    <mergeCell ref="N116:O116"/>
    <mergeCell ref="N117:O117"/>
    <mergeCell ref="N118:O118"/>
    <mergeCell ref="N119:O119"/>
    <mergeCell ref="N129:P129"/>
    <mergeCell ref="N130:O130"/>
    <mergeCell ref="N102:P102"/>
    <mergeCell ref="N103:O103"/>
    <mergeCell ref="N104:O104"/>
    <mergeCell ref="N105:O105"/>
    <mergeCell ref="N106:O106"/>
    <mergeCell ref="N115:P115"/>
    <mergeCell ref="C77:E77"/>
    <mergeCell ref="N89:P89"/>
    <mergeCell ref="N90:O90"/>
    <mergeCell ref="N91:O91"/>
    <mergeCell ref="N92:O92"/>
    <mergeCell ref="N93:O93"/>
    <mergeCell ref="C72:E72"/>
    <mergeCell ref="H72:J72"/>
    <mergeCell ref="K72:M72"/>
    <mergeCell ref="R72:T72"/>
    <mergeCell ref="J73:L73"/>
    <mergeCell ref="Q73:S73"/>
    <mergeCell ref="C70:E70"/>
    <mergeCell ref="H70:J70"/>
    <mergeCell ref="K70:M70"/>
    <mergeCell ref="R70:T70"/>
    <mergeCell ref="C71:E71"/>
    <mergeCell ref="H71:J71"/>
    <mergeCell ref="K71:M71"/>
    <mergeCell ref="R71:T71"/>
    <mergeCell ref="C68:E68"/>
    <mergeCell ref="H68:J68"/>
    <mergeCell ref="K68:M68"/>
    <mergeCell ref="R68:T68"/>
    <mergeCell ref="C69:E69"/>
    <mergeCell ref="H69:J69"/>
    <mergeCell ref="K69:M69"/>
    <mergeCell ref="R69:T69"/>
    <mergeCell ref="H66:J66"/>
    <mergeCell ref="K66:M66"/>
    <mergeCell ref="R66:T66"/>
    <mergeCell ref="C67:E67"/>
    <mergeCell ref="H67:J67"/>
    <mergeCell ref="K67:M67"/>
    <mergeCell ref="R67:T67"/>
    <mergeCell ref="H64:J64"/>
    <mergeCell ref="K64:M64"/>
    <mergeCell ref="R64:T64"/>
    <mergeCell ref="H65:J65"/>
    <mergeCell ref="K65:M65"/>
    <mergeCell ref="R65:T65"/>
    <mergeCell ref="C62:E62"/>
    <mergeCell ref="H62:J62"/>
    <mergeCell ref="K62:M62"/>
    <mergeCell ref="R62:T62"/>
    <mergeCell ref="C63:E63"/>
    <mergeCell ref="H63:J63"/>
    <mergeCell ref="K63:M63"/>
    <mergeCell ref="R63:T63"/>
    <mergeCell ref="C60:E60"/>
    <mergeCell ref="H60:J60"/>
    <mergeCell ref="K60:M60"/>
    <mergeCell ref="R60:T60"/>
    <mergeCell ref="C61:E61"/>
    <mergeCell ref="H61:J61"/>
    <mergeCell ref="K61:M61"/>
    <mergeCell ref="R61:T61"/>
    <mergeCell ref="C58:E58"/>
    <mergeCell ref="H58:J58"/>
    <mergeCell ref="K58:M58"/>
    <mergeCell ref="R58:T58"/>
    <mergeCell ref="C59:E59"/>
    <mergeCell ref="H59:J59"/>
    <mergeCell ref="K59:M59"/>
    <mergeCell ref="R59:T59"/>
    <mergeCell ref="C56:E56"/>
    <mergeCell ref="H56:J56"/>
    <mergeCell ref="K56:M56"/>
    <mergeCell ref="R56:T56"/>
    <mergeCell ref="C57:E57"/>
    <mergeCell ref="H57:J57"/>
    <mergeCell ref="K57:M57"/>
    <mergeCell ref="R57:T57"/>
    <mergeCell ref="C54:E54"/>
    <mergeCell ref="H54:J54"/>
    <mergeCell ref="K54:M54"/>
    <mergeCell ref="R54:T54"/>
    <mergeCell ref="C55:E55"/>
    <mergeCell ref="H55:J55"/>
    <mergeCell ref="K55:M55"/>
    <mergeCell ref="R55:T55"/>
    <mergeCell ref="C52:E52"/>
    <mergeCell ref="H52:J52"/>
    <mergeCell ref="K52:M52"/>
    <mergeCell ref="R52:T52"/>
    <mergeCell ref="C53:E53"/>
    <mergeCell ref="H53:J53"/>
    <mergeCell ref="K53:M53"/>
    <mergeCell ref="R53:T53"/>
    <mergeCell ref="C50:E50"/>
    <mergeCell ref="H50:J50"/>
    <mergeCell ref="K50:M50"/>
    <mergeCell ref="R50:T50"/>
    <mergeCell ref="C51:E51"/>
    <mergeCell ref="H51:J51"/>
    <mergeCell ref="K51:M51"/>
    <mergeCell ref="R51:T51"/>
    <mergeCell ref="C48:E48"/>
    <mergeCell ref="H48:J48"/>
    <mergeCell ref="K48:M48"/>
    <mergeCell ref="R48:T48"/>
    <mergeCell ref="C49:E49"/>
    <mergeCell ref="H49:J49"/>
    <mergeCell ref="K49:M49"/>
    <mergeCell ref="R49:T49"/>
    <mergeCell ref="C46:E46"/>
    <mergeCell ref="H46:J46"/>
    <mergeCell ref="K46:M46"/>
    <mergeCell ref="R46:T46"/>
    <mergeCell ref="C47:E47"/>
    <mergeCell ref="H47:J47"/>
    <mergeCell ref="K47:M47"/>
    <mergeCell ref="R47:T47"/>
    <mergeCell ref="C44:E44"/>
    <mergeCell ref="K44:M44"/>
    <mergeCell ref="R44:T44"/>
    <mergeCell ref="C45:E45"/>
    <mergeCell ref="H45:J45"/>
    <mergeCell ref="K45:M45"/>
    <mergeCell ref="R45:T45"/>
    <mergeCell ref="C42:E42"/>
    <mergeCell ref="K42:M42"/>
    <mergeCell ref="R42:T42"/>
    <mergeCell ref="C43:E43"/>
    <mergeCell ref="K43:M43"/>
    <mergeCell ref="R43:T43"/>
    <mergeCell ref="C40:E40"/>
    <mergeCell ref="H40:J40"/>
    <mergeCell ref="K40:M40"/>
    <mergeCell ref="R40:T40"/>
    <mergeCell ref="C41:E41"/>
    <mergeCell ref="K41:M41"/>
    <mergeCell ref="R41:T41"/>
    <mergeCell ref="C38:E38"/>
    <mergeCell ref="H38:J38"/>
    <mergeCell ref="K38:M38"/>
    <mergeCell ref="R38:T38"/>
    <mergeCell ref="C39:E39"/>
    <mergeCell ref="H39:J39"/>
    <mergeCell ref="K39:M39"/>
    <mergeCell ref="R39:T39"/>
    <mergeCell ref="C36:E36"/>
    <mergeCell ref="H36:J36"/>
    <mergeCell ref="K36:M36"/>
    <mergeCell ref="R36:T36"/>
    <mergeCell ref="C37:E37"/>
    <mergeCell ref="H37:J37"/>
    <mergeCell ref="K37:M37"/>
    <mergeCell ref="R37:T37"/>
    <mergeCell ref="C34:E34"/>
    <mergeCell ref="H34:J34"/>
    <mergeCell ref="K34:M34"/>
    <mergeCell ref="R34:T34"/>
    <mergeCell ref="C35:E35"/>
    <mergeCell ref="H35:J35"/>
    <mergeCell ref="K35:M35"/>
    <mergeCell ref="R35:T35"/>
    <mergeCell ref="C32:E32"/>
    <mergeCell ref="H32:J32"/>
    <mergeCell ref="K32:M32"/>
    <mergeCell ref="R32:T32"/>
    <mergeCell ref="C33:E33"/>
    <mergeCell ref="H33:J33"/>
    <mergeCell ref="K33:M33"/>
    <mergeCell ref="R33:T33"/>
    <mergeCell ref="C30:E30"/>
    <mergeCell ref="H30:J30"/>
    <mergeCell ref="K30:M30"/>
    <mergeCell ref="R30:T30"/>
    <mergeCell ref="C31:E31"/>
    <mergeCell ref="H31:J31"/>
    <mergeCell ref="K31:M31"/>
    <mergeCell ref="R31:T31"/>
    <mergeCell ref="C28:E28"/>
    <mergeCell ref="H28:J28"/>
    <mergeCell ref="K28:M28"/>
    <mergeCell ref="R28:T28"/>
    <mergeCell ref="C29:E29"/>
    <mergeCell ref="H29:J29"/>
    <mergeCell ref="K29:M29"/>
    <mergeCell ref="R29:T29"/>
    <mergeCell ref="C26:E26"/>
    <mergeCell ref="H26:J26"/>
    <mergeCell ref="K26:M26"/>
    <mergeCell ref="R26:T26"/>
    <mergeCell ref="C27:E27"/>
    <mergeCell ref="H27:J27"/>
    <mergeCell ref="K27:M27"/>
    <mergeCell ref="R27:T27"/>
    <mergeCell ref="B23:C23"/>
    <mergeCell ref="D23:K23"/>
    <mergeCell ref="P23:Q23"/>
    <mergeCell ref="S23:T23"/>
    <mergeCell ref="B25:C25"/>
    <mergeCell ref="D25:T25"/>
    <mergeCell ref="B20:C20"/>
    <mergeCell ref="D20:K20"/>
    <mergeCell ref="B21:C21"/>
    <mergeCell ref="D21:K21"/>
    <mergeCell ref="B22:C22"/>
    <mergeCell ref="D22:K22"/>
    <mergeCell ref="B18:C18"/>
    <mergeCell ref="D18:K18"/>
    <mergeCell ref="P18:Q18"/>
    <mergeCell ref="S18:T18"/>
    <mergeCell ref="B19:C19"/>
    <mergeCell ref="D19:K19"/>
    <mergeCell ref="P19:Q19"/>
    <mergeCell ref="S19:T19"/>
    <mergeCell ref="B16:C16"/>
    <mergeCell ref="D16:K16"/>
    <mergeCell ref="P16:Q16"/>
    <mergeCell ref="S16:T16"/>
    <mergeCell ref="B17:C17"/>
    <mergeCell ref="D17:K17"/>
    <mergeCell ref="P17:Q17"/>
    <mergeCell ref="S17:T17"/>
    <mergeCell ref="B14:C14"/>
    <mergeCell ref="D14:K14"/>
    <mergeCell ref="P14:Q14"/>
    <mergeCell ref="S14:T14"/>
    <mergeCell ref="B15:C15"/>
    <mergeCell ref="D15:K15"/>
    <mergeCell ref="P15:Q15"/>
    <mergeCell ref="S15:T15"/>
    <mergeCell ref="B12:C12"/>
    <mergeCell ref="D12:K12"/>
    <mergeCell ref="P12:Q12"/>
    <mergeCell ref="S12:T12"/>
    <mergeCell ref="B13:C13"/>
    <mergeCell ref="D13:K13"/>
    <mergeCell ref="P13:Q13"/>
    <mergeCell ref="S13:T13"/>
    <mergeCell ref="P10:Q10"/>
    <mergeCell ref="S10:T10"/>
    <mergeCell ref="B11:C11"/>
    <mergeCell ref="D11:K11"/>
    <mergeCell ref="P11:Q11"/>
    <mergeCell ref="S11:T11"/>
    <mergeCell ref="B8:C8"/>
    <mergeCell ref="D8:M8"/>
    <mergeCell ref="P8:Q8"/>
    <mergeCell ref="S8:T8"/>
    <mergeCell ref="B9:C10"/>
    <mergeCell ref="D9:K10"/>
    <mergeCell ref="L9:L10"/>
    <mergeCell ref="M9:M10"/>
    <mergeCell ref="P9:Q9"/>
    <mergeCell ref="S9:T9"/>
    <mergeCell ref="P4:Q4"/>
    <mergeCell ref="B5:E6"/>
    <mergeCell ref="F5:G6"/>
    <mergeCell ref="H5:K6"/>
    <mergeCell ref="L5:M6"/>
    <mergeCell ref="P6:Q6"/>
    <mergeCell ref="B2:C2"/>
    <mergeCell ref="D2:E2"/>
    <mergeCell ref="F2:G2"/>
    <mergeCell ref="H2:M2"/>
    <mergeCell ref="P2:Q2"/>
    <mergeCell ref="B3:E4"/>
    <mergeCell ref="F3:G4"/>
    <mergeCell ref="H3:K4"/>
    <mergeCell ref="L3:M4"/>
    <mergeCell ref="P3:Q3"/>
  </mergeCells>
  <conditionalFormatting sqref="L5:M6">
    <cfRule type="cellIs" dxfId="4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175EF-4983-2841-A6F8-A96B1701AF48}">
  <dimension ref="A1:BU208"/>
  <sheetViews>
    <sheetView zoomScaleNormal="100" workbookViewId="0">
      <selection activeCell="D19" sqref="D19:K19"/>
    </sheetView>
  </sheetViews>
  <sheetFormatPr baseColWidth="10" defaultColWidth="8.6640625" defaultRowHeight="15" x14ac:dyDescent="0.2"/>
  <cols>
    <col min="1" max="1" width="4.5" style="1" customWidth="1"/>
    <col min="2" max="2" width="15.6640625" bestFit="1" customWidth="1"/>
    <col min="3" max="3" width="33" style="72" bestFit="1" customWidth="1"/>
    <col min="4" max="4" width="12.1640625" customWidth="1"/>
    <col min="5" max="5" width="28" customWidth="1"/>
    <col min="6" max="6" width="12.5" bestFit="1" customWidth="1"/>
    <col min="7" max="7" width="10.6640625" bestFit="1" customWidth="1"/>
    <col min="8" max="8" width="18.5" customWidth="1"/>
    <col min="9" max="9" width="59.5" customWidth="1"/>
    <col min="10" max="10" width="13.6640625" customWidth="1"/>
    <col min="11" max="11" width="14" customWidth="1"/>
    <col min="12" max="12" width="14.6640625" customWidth="1"/>
    <col min="13" max="13" width="13.6640625" customWidth="1"/>
    <col min="14" max="14" width="11" customWidth="1"/>
    <col min="15" max="15" width="13.5" bestFit="1" customWidth="1"/>
    <col min="16" max="16" width="11" style="74" customWidth="1"/>
    <col min="17" max="17" width="20.5" style="3" customWidth="1"/>
    <col min="18" max="18" width="5.5" style="3" customWidth="1"/>
    <col min="19" max="19" width="19.5" style="3" customWidth="1"/>
    <col min="20" max="22" width="27.5" style="3" customWidth="1"/>
    <col min="23" max="23" width="40.5" style="3" bestFit="1" customWidth="1"/>
    <col min="24" max="24" width="29" style="3" customWidth="1"/>
    <col min="25" max="72" width="8.6640625" style="3"/>
  </cols>
  <sheetData>
    <row r="1" spans="2:72" s="1" customFormat="1" ht="15" customHeight="1" thickBot="1" x14ac:dyDescent="0.25">
      <c r="C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2:72" ht="46.5" customHeight="1" x14ac:dyDescent="0.2">
      <c r="B2" s="155" t="s">
        <v>0</v>
      </c>
      <c r="C2" s="155"/>
      <c r="D2" s="156" t="s">
        <v>1</v>
      </c>
      <c r="E2" s="156"/>
      <c r="F2" s="157"/>
      <c r="G2" s="157"/>
      <c r="H2" s="156" t="s">
        <v>2</v>
      </c>
      <c r="I2" s="156"/>
      <c r="J2" s="156"/>
      <c r="K2" s="156"/>
      <c r="L2" s="156"/>
      <c r="M2" s="156"/>
      <c r="N2" s="3"/>
      <c r="O2" s="4" t="s">
        <v>3</v>
      </c>
      <c r="P2" s="158" t="s">
        <v>4</v>
      </c>
      <c r="Q2" s="158"/>
    </row>
    <row r="3" spans="2:72" ht="24.75" customHeight="1" x14ac:dyDescent="0.2">
      <c r="B3" s="149" t="s">
        <v>73</v>
      </c>
      <c r="C3" s="149"/>
      <c r="D3" s="149"/>
      <c r="E3" s="149"/>
      <c r="F3" s="159">
        <v>2300000</v>
      </c>
      <c r="G3" s="159"/>
      <c r="H3" s="152" t="s">
        <v>6</v>
      </c>
      <c r="I3" s="152"/>
      <c r="J3" s="152"/>
      <c r="K3" s="152"/>
      <c r="L3" s="159">
        <v>4000000</v>
      </c>
      <c r="M3" s="159"/>
      <c r="N3" s="5"/>
      <c r="O3" s="6" t="s">
        <v>7</v>
      </c>
      <c r="P3" s="148"/>
      <c r="Q3" s="148"/>
    </row>
    <row r="4" spans="2:72" ht="21" customHeight="1" x14ac:dyDescent="0.2">
      <c r="B4" s="149"/>
      <c r="C4" s="149"/>
      <c r="D4" s="149"/>
      <c r="E4" s="149"/>
      <c r="F4" s="159"/>
      <c r="G4" s="159"/>
      <c r="H4" s="152"/>
      <c r="I4" s="152"/>
      <c r="J4" s="152"/>
      <c r="K4" s="152"/>
      <c r="L4" s="159"/>
      <c r="M4" s="159"/>
      <c r="N4" s="3"/>
      <c r="O4" s="6" t="s">
        <v>8</v>
      </c>
      <c r="P4" s="148"/>
      <c r="Q4" s="148"/>
    </row>
    <row r="5" spans="2:72" ht="21" customHeight="1" x14ac:dyDescent="0.2">
      <c r="B5" s="149" t="s">
        <v>74</v>
      </c>
      <c r="C5" s="149"/>
      <c r="D5" s="149"/>
      <c r="E5" s="149"/>
      <c r="F5" s="150">
        <f>SUM(T27:T73)</f>
        <v>0</v>
      </c>
      <c r="G5" s="150"/>
      <c r="H5" s="151" t="s">
        <v>10</v>
      </c>
      <c r="I5" s="152"/>
      <c r="J5" s="152"/>
      <c r="K5" s="152"/>
      <c r="L5" s="153">
        <f>SUM(L3-F3)</f>
        <v>1700000</v>
      </c>
      <c r="M5" s="153"/>
      <c r="N5" s="3"/>
      <c r="O5" s="7" t="s">
        <v>11</v>
      </c>
      <c r="P5" s="8"/>
      <c r="Q5" s="9"/>
    </row>
    <row r="6" spans="2:72" ht="21" customHeight="1" thickBot="1" x14ac:dyDescent="0.25">
      <c r="B6" s="149"/>
      <c r="C6" s="149"/>
      <c r="D6" s="149"/>
      <c r="E6" s="149"/>
      <c r="F6" s="150"/>
      <c r="G6" s="150"/>
      <c r="H6" s="152"/>
      <c r="I6" s="152"/>
      <c r="J6" s="152"/>
      <c r="K6" s="152"/>
      <c r="L6" s="153"/>
      <c r="M6" s="153"/>
      <c r="N6" s="3"/>
      <c r="O6" s="10" t="s">
        <v>12</v>
      </c>
      <c r="P6" s="154"/>
      <c r="Q6" s="154"/>
    </row>
    <row r="7" spans="2:72" s="1" customFormat="1" ht="9" customHeight="1" thickBot="1" x14ac:dyDescent="0.25">
      <c r="C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2:72" s="1" customFormat="1" ht="46.5" customHeight="1" x14ac:dyDescent="0.2">
      <c r="B8" s="155" t="s">
        <v>13</v>
      </c>
      <c r="C8" s="155"/>
      <c r="D8" s="156" t="s">
        <v>14</v>
      </c>
      <c r="E8" s="156"/>
      <c r="F8" s="156"/>
      <c r="G8" s="156"/>
      <c r="H8" s="156"/>
      <c r="I8" s="156"/>
      <c r="J8" s="156"/>
      <c r="K8" s="156"/>
      <c r="L8" s="156"/>
      <c r="M8" s="156"/>
      <c r="N8" s="3"/>
      <c r="O8" s="4" t="s">
        <v>15</v>
      </c>
      <c r="P8" s="158" t="s">
        <v>16</v>
      </c>
      <c r="Q8" s="158"/>
      <c r="R8" s="3"/>
      <c r="S8" s="164" t="s">
        <v>17</v>
      </c>
      <c r="T8" s="164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</row>
    <row r="9" spans="2:72" s="1" customFormat="1" ht="17.25" customHeight="1" x14ac:dyDescent="0.2">
      <c r="B9" s="165" t="s">
        <v>18</v>
      </c>
      <c r="C9" s="165"/>
      <c r="D9" s="166" t="s">
        <v>19</v>
      </c>
      <c r="E9" s="166"/>
      <c r="F9" s="166"/>
      <c r="G9" s="166"/>
      <c r="H9" s="166"/>
      <c r="I9" s="166"/>
      <c r="J9" s="166"/>
      <c r="K9" s="166"/>
      <c r="L9" s="167" t="s">
        <v>20</v>
      </c>
      <c r="M9" s="168" t="s">
        <v>21</v>
      </c>
      <c r="N9" s="3"/>
      <c r="O9" s="6" t="s">
        <v>22</v>
      </c>
      <c r="P9" s="148"/>
      <c r="Q9" s="148"/>
      <c r="R9" s="3"/>
      <c r="S9" s="160">
        <v>1</v>
      </c>
      <c r="T9" s="160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</row>
    <row r="10" spans="2:72" s="1" customFormat="1" ht="17.25" customHeight="1" x14ac:dyDescent="0.2">
      <c r="B10" s="165"/>
      <c r="C10" s="165"/>
      <c r="D10" s="166"/>
      <c r="E10" s="166"/>
      <c r="F10" s="166"/>
      <c r="G10" s="166"/>
      <c r="H10" s="166"/>
      <c r="I10" s="166"/>
      <c r="J10" s="166"/>
      <c r="K10" s="166"/>
      <c r="L10" s="167"/>
      <c r="M10" s="168"/>
      <c r="N10" s="3"/>
      <c r="O10" s="6" t="s">
        <v>23</v>
      </c>
      <c r="P10" s="148"/>
      <c r="Q10" s="148"/>
      <c r="R10" s="3"/>
      <c r="S10" s="160">
        <v>2</v>
      </c>
      <c r="T10" s="160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</row>
    <row r="11" spans="2:72" s="1" customFormat="1" ht="17.25" customHeight="1" x14ac:dyDescent="0.2">
      <c r="B11" s="161">
        <v>1</v>
      </c>
      <c r="C11" s="161"/>
      <c r="D11" s="162"/>
      <c r="E11" s="163"/>
      <c r="F11" s="163"/>
      <c r="G11" s="163"/>
      <c r="H11" s="163"/>
      <c r="I11" s="163"/>
      <c r="J11" s="163"/>
      <c r="K11" s="163"/>
      <c r="L11" s="119"/>
      <c r="M11" s="122"/>
      <c r="N11" s="3"/>
      <c r="O11" s="6" t="s">
        <v>24</v>
      </c>
      <c r="P11" s="148"/>
      <c r="Q11" s="148"/>
      <c r="R11" s="3"/>
      <c r="S11" s="160">
        <v>3</v>
      </c>
      <c r="T11" s="160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</row>
    <row r="12" spans="2:72" s="1" customFormat="1" ht="17.25" customHeight="1" x14ac:dyDescent="0.2">
      <c r="B12" s="174">
        <v>2</v>
      </c>
      <c r="C12" s="174"/>
      <c r="D12" s="162"/>
      <c r="E12" s="163"/>
      <c r="F12" s="163"/>
      <c r="G12" s="163"/>
      <c r="H12" s="163"/>
      <c r="I12" s="163"/>
      <c r="J12" s="163"/>
      <c r="K12" s="163"/>
      <c r="L12" s="120"/>
      <c r="M12" s="123"/>
      <c r="N12" s="3"/>
      <c r="O12" s="6" t="s">
        <v>25</v>
      </c>
      <c r="P12" s="148"/>
      <c r="Q12" s="148"/>
      <c r="R12" s="3"/>
      <c r="S12" s="160">
        <v>4</v>
      </c>
      <c r="T12" s="160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</row>
    <row r="13" spans="2:72" s="1" customFormat="1" ht="17.25" customHeight="1" x14ac:dyDescent="0.2">
      <c r="B13" s="175">
        <f t="shared" ref="B13:B19" si="0">B12+1</f>
        <v>3</v>
      </c>
      <c r="C13" s="175"/>
      <c r="D13" s="170"/>
      <c r="E13" s="170"/>
      <c r="F13" s="170"/>
      <c r="G13" s="170"/>
      <c r="H13" s="170"/>
      <c r="I13" s="170"/>
      <c r="J13" s="170"/>
      <c r="K13" s="170"/>
      <c r="L13" s="11"/>
      <c r="M13" s="12"/>
      <c r="N13" s="3"/>
      <c r="O13" s="6" t="s">
        <v>26</v>
      </c>
      <c r="P13" s="148"/>
      <c r="Q13" s="148"/>
      <c r="R13" s="3"/>
      <c r="S13" s="160">
        <v>5</v>
      </c>
      <c r="T13" s="160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</row>
    <row r="14" spans="2:72" s="1" customFormat="1" ht="17.25" customHeight="1" x14ac:dyDescent="0.2">
      <c r="B14" s="169">
        <f t="shared" si="0"/>
        <v>4</v>
      </c>
      <c r="C14" s="169"/>
      <c r="D14" s="170"/>
      <c r="E14" s="170"/>
      <c r="F14" s="170"/>
      <c r="G14" s="170"/>
      <c r="H14" s="170"/>
      <c r="I14" s="170"/>
      <c r="J14" s="170"/>
      <c r="K14" s="170"/>
      <c r="L14" s="11"/>
      <c r="M14" s="12"/>
      <c r="N14" s="3"/>
      <c r="O14" s="6" t="s">
        <v>27</v>
      </c>
      <c r="P14" s="171"/>
      <c r="Q14" s="172"/>
      <c r="R14" s="3"/>
      <c r="S14" s="160">
        <v>6</v>
      </c>
      <c r="T14" s="160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</row>
    <row r="15" spans="2:72" s="1" customFormat="1" ht="17.25" customHeight="1" x14ac:dyDescent="0.2">
      <c r="B15" s="173">
        <f t="shared" si="0"/>
        <v>5</v>
      </c>
      <c r="C15" s="173"/>
      <c r="D15" s="170"/>
      <c r="E15" s="170"/>
      <c r="F15" s="170"/>
      <c r="G15" s="170"/>
      <c r="H15" s="170"/>
      <c r="I15" s="170"/>
      <c r="J15" s="170"/>
      <c r="K15" s="170"/>
      <c r="L15" s="11"/>
      <c r="M15" s="12"/>
      <c r="N15" s="3"/>
      <c r="O15" s="6" t="s">
        <v>28</v>
      </c>
      <c r="P15" s="148"/>
      <c r="Q15" s="148"/>
      <c r="R15" s="3"/>
      <c r="S15" s="160">
        <v>7</v>
      </c>
      <c r="T15" s="160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spans="2:72" s="1" customFormat="1" ht="17.25" customHeight="1" x14ac:dyDescent="0.2">
      <c r="B16" s="180">
        <f t="shared" si="0"/>
        <v>6</v>
      </c>
      <c r="C16" s="180"/>
      <c r="D16" s="181"/>
      <c r="E16" s="170"/>
      <c r="F16" s="170"/>
      <c r="G16" s="170"/>
      <c r="H16" s="170"/>
      <c r="I16" s="170"/>
      <c r="J16" s="170"/>
      <c r="K16" s="170"/>
      <c r="L16" s="11"/>
      <c r="M16" s="12"/>
      <c r="N16" s="3"/>
      <c r="O16" s="6" t="s">
        <v>29</v>
      </c>
      <c r="P16" s="148"/>
      <c r="Q16" s="148"/>
      <c r="R16" s="3"/>
      <c r="S16" s="160">
        <v>8</v>
      </c>
      <c r="T16" s="160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</row>
    <row r="17" spans="1:73" s="1" customFormat="1" ht="17.25" customHeight="1" x14ac:dyDescent="0.2">
      <c r="B17" s="182">
        <f t="shared" si="0"/>
        <v>7</v>
      </c>
      <c r="C17" s="182"/>
      <c r="D17" s="170"/>
      <c r="E17" s="177"/>
      <c r="F17" s="177"/>
      <c r="G17" s="177"/>
      <c r="H17" s="177"/>
      <c r="I17" s="177"/>
      <c r="J17" s="177"/>
      <c r="K17" s="178"/>
      <c r="L17" s="11"/>
      <c r="M17" s="12"/>
      <c r="N17" s="3"/>
      <c r="O17" s="6" t="s">
        <v>30</v>
      </c>
      <c r="P17" s="148"/>
      <c r="Q17" s="148"/>
      <c r="R17" s="3"/>
      <c r="S17" s="160">
        <v>9</v>
      </c>
      <c r="T17" s="160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</row>
    <row r="18" spans="1:73" s="1" customFormat="1" ht="17.25" customHeight="1" x14ac:dyDescent="0.2">
      <c r="B18" s="176">
        <f t="shared" si="0"/>
        <v>8</v>
      </c>
      <c r="C18" s="176"/>
      <c r="D18" s="170"/>
      <c r="E18" s="177"/>
      <c r="F18" s="177"/>
      <c r="G18" s="177"/>
      <c r="H18" s="177"/>
      <c r="I18" s="177"/>
      <c r="J18" s="177"/>
      <c r="K18" s="178"/>
      <c r="L18" s="13"/>
      <c r="M18" s="12"/>
      <c r="N18" s="3"/>
      <c r="O18" s="6" t="s">
        <v>31</v>
      </c>
      <c r="P18" s="148"/>
      <c r="Q18" s="148"/>
      <c r="R18" s="3"/>
      <c r="S18" s="160">
        <v>10</v>
      </c>
      <c r="T18" s="160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</row>
    <row r="19" spans="1:73" s="1" customFormat="1" ht="17.25" customHeight="1" x14ac:dyDescent="0.2">
      <c r="B19" s="179">
        <f t="shared" si="0"/>
        <v>9</v>
      </c>
      <c r="C19" s="179"/>
      <c r="D19" s="170"/>
      <c r="E19" s="170"/>
      <c r="F19" s="170"/>
      <c r="G19" s="170"/>
      <c r="H19" s="170"/>
      <c r="I19" s="170"/>
      <c r="J19" s="170"/>
      <c r="K19" s="170"/>
      <c r="L19" s="11"/>
      <c r="M19" s="12"/>
      <c r="N19" s="3"/>
      <c r="O19" s="6" t="s">
        <v>32</v>
      </c>
      <c r="P19" s="148"/>
      <c r="Q19" s="148"/>
      <c r="R19" s="3"/>
      <c r="S19" s="160">
        <v>11</v>
      </c>
      <c r="T19" s="160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</row>
    <row r="20" spans="1:73" s="1" customFormat="1" ht="17.25" customHeight="1" x14ac:dyDescent="0.2">
      <c r="B20" s="189">
        <v>10</v>
      </c>
      <c r="C20" s="189"/>
      <c r="D20" s="170"/>
      <c r="E20" s="170"/>
      <c r="F20" s="170"/>
      <c r="G20" s="170"/>
      <c r="H20" s="170"/>
      <c r="I20" s="170"/>
      <c r="J20" s="170"/>
      <c r="K20" s="170"/>
      <c r="L20" s="14"/>
      <c r="M20" s="15"/>
      <c r="N20" s="3"/>
      <c r="O20" s="7"/>
      <c r="P20" s="8"/>
      <c r="Q20" s="9"/>
      <c r="R20" s="3"/>
      <c r="S20" s="16"/>
      <c r="T20" s="17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</row>
    <row r="21" spans="1:73" s="1" customFormat="1" ht="17.25" customHeight="1" x14ac:dyDescent="0.2">
      <c r="B21" s="190">
        <v>11</v>
      </c>
      <c r="C21" s="190"/>
      <c r="D21" s="170"/>
      <c r="E21" s="170"/>
      <c r="F21" s="170"/>
      <c r="G21" s="170"/>
      <c r="H21" s="170"/>
      <c r="I21" s="170"/>
      <c r="J21" s="170"/>
      <c r="K21" s="170"/>
      <c r="L21" s="14"/>
      <c r="M21" s="15"/>
      <c r="N21" s="3"/>
      <c r="O21" s="7"/>
      <c r="P21" s="8"/>
      <c r="Q21" s="9"/>
      <c r="R21" s="3"/>
      <c r="S21" s="16"/>
      <c r="T21" s="17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</row>
    <row r="22" spans="1:73" s="1" customFormat="1" ht="17.25" customHeight="1" x14ac:dyDescent="0.2">
      <c r="B22" s="191">
        <v>12</v>
      </c>
      <c r="C22" s="191"/>
      <c r="D22" s="170"/>
      <c r="E22" s="170"/>
      <c r="F22" s="170"/>
      <c r="G22" s="170"/>
      <c r="H22" s="170"/>
      <c r="I22" s="170"/>
      <c r="J22" s="170"/>
      <c r="K22" s="170"/>
      <c r="L22" s="14"/>
      <c r="M22" s="15"/>
      <c r="N22" s="3"/>
      <c r="O22" s="7"/>
      <c r="P22" s="8"/>
      <c r="Q22" s="9"/>
      <c r="R22" s="3"/>
      <c r="S22" s="16"/>
      <c r="T22" s="17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</row>
    <row r="23" spans="1:73" s="1" customFormat="1" ht="17.25" customHeight="1" thickBot="1" x14ac:dyDescent="0.25">
      <c r="B23" s="183">
        <v>13</v>
      </c>
      <c r="C23" s="183"/>
      <c r="D23" s="184"/>
      <c r="E23" s="184"/>
      <c r="F23" s="184"/>
      <c r="G23" s="184"/>
      <c r="H23" s="184"/>
      <c r="I23" s="184"/>
      <c r="J23" s="184"/>
      <c r="K23" s="184"/>
      <c r="L23" s="18"/>
      <c r="M23" s="19"/>
      <c r="N23" s="3"/>
      <c r="O23" s="10" t="s">
        <v>33</v>
      </c>
      <c r="P23" s="154"/>
      <c r="Q23" s="154"/>
      <c r="R23" s="3"/>
      <c r="S23" s="185">
        <v>12</v>
      </c>
      <c r="T23" s="185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</row>
    <row r="24" spans="1:73" s="1" customFormat="1" ht="8.25" customHeight="1" thickBot="1" x14ac:dyDescent="0.25">
      <c r="C24" s="2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</row>
    <row r="25" spans="1:73" s="1" customFormat="1" ht="46.5" customHeight="1" x14ac:dyDescent="0.2">
      <c r="B25" s="186" t="s">
        <v>34</v>
      </c>
      <c r="C25" s="187"/>
      <c r="D25" s="188" t="s">
        <v>35</v>
      </c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</row>
    <row r="26" spans="1:73" s="1" customFormat="1" ht="65.25" customHeight="1" thickBot="1" x14ac:dyDescent="0.25">
      <c r="A26"/>
      <c r="B26" s="20" t="s">
        <v>36</v>
      </c>
      <c r="C26" s="198" t="s">
        <v>37</v>
      </c>
      <c r="D26" s="199"/>
      <c r="E26" s="200"/>
      <c r="F26" s="121" t="s">
        <v>38</v>
      </c>
      <c r="G26" s="21" t="s">
        <v>39</v>
      </c>
      <c r="H26" s="198" t="s">
        <v>40</v>
      </c>
      <c r="I26" s="199"/>
      <c r="J26" s="200"/>
      <c r="K26" s="198" t="s">
        <v>41</v>
      </c>
      <c r="L26" s="199"/>
      <c r="M26" s="200"/>
      <c r="N26" s="21" t="s">
        <v>42</v>
      </c>
      <c r="O26" s="21" t="s">
        <v>43</v>
      </c>
      <c r="P26" s="21" t="s">
        <v>44</v>
      </c>
      <c r="Q26" s="21" t="s">
        <v>45</v>
      </c>
      <c r="R26" s="198" t="s">
        <v>46</v>
      </c>
      <c r="S26" s="199"/>
      <c r="T26" s="200"/>
      <c r="U26" s="22" t="s">
        <v>47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</row>
    <row r="27" spans="1:73" s="1" customFormat="1" ht="16.5" customHeight="1" x14ac:dyDescent="0.2">
      <c r="A27"/>
      <c r="B27" s="127">
        <v>1</v>
      </c>
      <c r="C27" s="201"/>
      <c r="D27" s="202"/>
      <c r="E27" s="203"/>
      <c r="F27" s="125"/>
      <c r="G27" s="125"/>
      <c r="H27" s="193"/>
      <c r="I27" s="193"/>
      <c r="J27" s="195"/>
      <c r="K27" s="196"/>
      <c r="L27" s="197"/>
      <c r="M27" s="197"/>
      <c r="N27" s="24"/>
      <c r="O27" s="24"/>
      <c r="P27" s="24"/>
      <c r="Q27" s="24"/>
      <c r="R27" s="197"/>
      <c r="S27" s="197"/>
      <c r="T27" s="197"/>
      <c r="U27" s="25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</row>
    <row r="28" spans="1:73" s="1" customFormat="1" ht="16.5" customHeight="1" x14ac:dyDescent="0.2">
      <c r="A28"/>
      <c r="B28" s="127">
        <v>1</v>
      </c>
      <c r="C28" s="192"/>
      <c r="D28" s="193"/>
      <c r="E28" s="194"/>
      <c r="F28" s="126"/>
      <c r="G28" s="126"/>
      <c r="H28" s="193"/>
      <c r="I28" s="193"/>
      <c r="J28" s="195"/>
      <c r="K28" s="196"/>
      <c r="L28" s="197"/>
      <c r="M28" s="197"/>
      <c r="N28" s="24"/>
      <c r="O28" s="24"/>
      <c r="P28" s="24"/>
      <c r="Q28" s="24"/>
      <c r="R28" s="197"/>
      <c r="S28" s="197"/>
      <c r="T28" s="197"/>
      <c r="U28" s="25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</row>
    <row r="29" spans="1:73" s="1" customFormat="1" ht="16.5" customHeight="1" x14ac:dyDescent="0.2">
      <c r="A29"/>
      <c r="B29" s="127">
        <v>1</v>
      </c>
      <c r="C29" s="192"/>
      <c r="D29" s="193"/>
      <c r="E29" s="194"/>
      <c r="F29" s="126"/>
      <c r="G29" s="126"/>
      <c r="H29" s="193"/>
      <c r="I29" s="193"/>
      <c r="J29" s="195"/>
      <c r="K29" s="196"/>
      <c r="L29" s="197"/>
      <c r="M29" s="197"/>
      <c r="N29" s="24"/>
      <c r="O29" s="24"/>
      <c r="P29" s="24"/>
      <c r="Q29" s="24"/>
      <c r="R29" s="197"/>
      <c r="S29" s="197"/>
      <c r="T29" s="197"/>
      <c r="U29" s="25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</row>
    <row r="30" spans="1:73" s="1" customFormat="1" ht="16.5" customHeight="1" thickBot="1" x14ac:dyDescent="0.25">
      <c r="A30"/>
      <c r="B30" s="127">
        <v>1</v>
      </c>
      <c r="C30" s="205"/>
      <c r="D30" s="206"/>
      <c r="E30" s="207"/>
      <c r="F30" s="27"/>
      <c r="G30" s="126"/>
      <c r="H30" s="197"/>
      <c r="I30" s="197"/>
      <c r="J30" s="197"/>
      <c r="K30" s="196"/>
      <c r="L30" s="197"/>
      <c r="M30" s="197"/>
      <c r="N30" s="24"/>
      <c r="O30" s="24"/>
      <c r="P30" s="24"/>
      <c r="Q30" s="24"/>
      <c r="R30" s="197"/>
      <c r="S30" s="197"/>
      <c r="T30" s="197"/>
      <c r="U30" s="25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</row>
    <row r="31" spans="1:73" s="1" customFormat="1" ht="16.5" customHeight="1" x14ac:dyDescent="0.2">
      <c r="A31"/>
      <c r="B31" s="128">
        <v>2</v>
      </c>
      <c r="C31" s="201"/>
      <c r="D31" s="202"/>
      <c r="E31" s="203"/>
      <c r="F31" s="125"/>
      <c r="G31" s="125"/>
      <c r="H31" s="193"/>
      <c r="I31" s="193"/>
      <c r="J31" s="204"/>
      <c r="K31" s="197"/>
      <c r="L31" s="197"/>
      <c r="M31" s="197"/>
      <c r="N31" s="24"/>
      <c r="O31" s="24"/>
      <c r="P31" s="24"/>
      <c r="Q31" s="27"/>
      <c r="R31" s="197"/>
      <c r="S31" s="197"/>
      <c r="T31" s="197"/>
      <c r="U31" s="25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</row>
    <row r="32" spans="1:73" s="1" customFormat="1" ht="16.5" customHeight="1" x14ac:dyDescent="0.2">
      <c r="A32"/>
      <c r="B32" s="128">
        <v>2</v>
      </c>
      <c r="C32" s="192"/>
      <c r="D32" s="193"/>
      <c r="E32" s="194"/>
      <c r="F32" s="126"/>
      <c r="G32" s="126"/>
      <c r="H32" s="193"/>
      <c r="I32" s="193"/>
      <c r="J32" s="204"/>
      <c r="K32" s="197"/>
      <c r="L32" s="197"/>
      <c r="M32" s="197"/>
      <c r="N32" s="24"/>
      <c r="O32" s="24"/>
      <c r="P32" s="24"/>
      <c r="Q32" s="27"/>
      <c r="R32" s="197"/>
      <c r="S32" s="197"/>
      <c r="T32" s="197"/>
      <c r="U32" s="25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</row>
    <row r="33" spans="1:73" s="1" customFormat="1" ht="16.5" customHeight="1" x14ac:dyDescent="0.2">
      <c r="A33"/>
      <c r="B33" s="128">
        <v>2</v>
      </c>
      <c r="C33" s="192"/>
      <c r="D33" s="193"/>
      <c r="E33" s="194"/>
      <c r="F33" s="126"/>
      <c r="G33" s="126"/>
      <c r="H33" s="193"/>
      <c r="I33" s="193"/>
      <c r="J33" s="204"/>
      <c r="K33" s="197"/>
      <c r="L33" s="197"/>
      <c r="M33" s="197"/>
      <c r="N33" s="24"/>
      <c r="O33" s="24"/>
      <c r="P33" s="24"/>
      <c r="Q33" s="27"/>
      <c r="R33" s="197"/>
      <c r="S33" s="197"/>
      <c r="T33" s="197"/>
      <c r="U33" s="25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</row>
    <row r="34" spans="1:73" s="1" customFormat="1" ht="16.5" customHeight="1" thickBot="1" x14ac:dyDescent="0.25">
      <c r="A34"/>
      <c r="B34" s="128">
        <v>2</v>
      </c>
      <c r="C34" s="208"/>
      <c r="D34" s="209"/>
      <c r="E34" s="210"/>
      <c r="F34" s="126"/>
      <c r="G34" s="126"/>
      <c r="H34" s="193"/>
      <c r="I34" s="193"/>
      <c r="J34" s="195"/>
      <c r="K34" s="197"/>
      <c r="L34" s="197"/>
      <c r="M34" s="197"/>
      <c r="N34" s="24"/>
      <c r="O34" s="24"/>
      <c r="P34" s="24"/>
      <c r="Q34" s="27"/>
      <c r="R34" s="197"/>
      <c r="S34" s="197"/>
      <c r="T34" s="197"/>
      <c r="U34" s="25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</row>
    <row r="35" spans="1:73" s="1" customFormat="1" ht="16.5" customHeight="1" x14ac:dyDescent="0.2">
      <c r="A35"/>
      <c r="B35" s="26">
        <v>2</v>
      </c>
      <c r="C35" s="211"/>
      <c r="D35" s="211"/>
      <c r="E35" s="211"/>
      <c r="F35" s="27"/>
      <c r="G35" s="24"/>
      <c r="H35" s="197"/>
      <c r="I35" s="197"/>
      <c r="J35" s="197"/>
      <c r="K35" s="197"/>
      <c r="L35" s="197"/>
      <c r="M35" s="197"/>
      <c r="N35" s="24"/>
      <c r="O35" s="24"/>
      <c r="P35" s="24"/>
      <c r="Q35" s="27"/>
      <c r="R35" s="197"/>
      <c r="S35" s="197"/>
      <c r="T35" s="197"/>
      <c r="U35" s="25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</row>
    <row r="36" spans="1:73" s="1" customFormat="1" ht="16.5" customHeight="1" thickBot="1" x14ac:dyDescent="0.25">
      <c r="A36"/>
      <c r="B36" s="26">
        <v>2</v>
      </c>
      <c r="C36" s="206"/>
      <c r="D36" s="206"/>
      <c r="E36" s="206"/>
      <c r="F36" s="27"/>
      <c r="G36" s="24"/>
      <c r="H36" s="197"/>
      <c r="I36" s="197"/>
      <c r="J36" s="197"/>
      <c r="K36" s="197"/>
      <c r="L36" s="197"/>
      <c r="M36" s="197"/>
      <c r="N36" s="24"/>
      <c r="O36" s="24"/>
      <c r="P36" s="24"/>
      <c r="Q36" s="27"/>
      <c r="R36" s="197"/>
      <c r="S36" s="197"/>
      <c r="T36" s="197"/>
      <c r="U36" s="25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</row>
    <row r="37" spans="1:73" s="29" customFormat="1" ht="16.5" customHeight="1" x14ac:dyDescent="0.2">
      <c r="A37"/>
      <c r="B37" s="129">
        <v>3</v>
      </c>
      <c r="C37" s="201"/>
      <c r="D37" s="202"/>
      <c r="E37" s="203"/>
      <c r="F37" s="125"/>
      <c r="G37" s="125"/>
      <c r="H37" s="193"/>
      <c r="I37" s="193"/>
      <c r="J37" s="195"/>
      <c r="K37" s="197"/>
      <c r="L37" s="197"/>
      <c r="M37" s="197"/>
      <c r="N37" s="24"/>
      <c r="O37" s="24"/>
      <c r="P37" s="24"/>
      <c r="Q37" s="27"/>
      <c r="R37" s="197"/>
      <c r="S37" s="197"/>
      <c r="T37" s="197"/>
      <c r="U37" s="25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</row>
    <row r="38" spans="1:73" s="1" customFormat="1" ht="16.5" customHeight="1" x14ac:dyDescent="0.2">
      <c r="A38"/>
      <c r="B38" s="129">
        <v>3</v>
      </c>
      <c r="C38" s="192"/>
      <c r="D38" s="193"/>
      <c r="E38" s="194"/>
      <c r="F38" s="126"/>
      <c r="G38" s="126"/>
      <c r="H38" s="193"/>
      <c r="I38" s="193"/>
      <c r="J38" s="195"/>
      <c r="K38" s="197"/>
      <c r="L38" s="197"/>
      <c r="M38" s="197"/>
      <c r="N38" s="24"/>
      <c r="O38" s="24"/>
      <c r="P38" s="24"/>
      <c r="Q38" s="27"/>
      <c r="R38" s="197"/>
      <c r="S38" s="197"/>
      <c r="T38" s="197"/>
      <c r="U38" s="25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</row>
    <row r="39" spans="1:73" s="1" customFormat="1" ht="16.5" customHeight="1" x14ac:dyDescent="0.2">
      <c r="A39"/>
      <c r="B39" s="129">
        <v>3</v>
      </c>
      <c r="C39" s="221"/>
      <c r="D39" s="222"/>
      <c r="E39" s="223"/>
      <c r="F39" s="126"/>
      <c r="G39" s="126"/>
      <c r="H39" s="193"/>
      <c r="I39" s="193"/>
      <c r="J39" s="195"/>
      <c r="K39" s="197"/>
      <c r="L39" s="197"/>
      <c r="M39" s="197"/>
      <c r="N39" s="24"/>
      <c r="O39" s="24"/>
      <c r="P39" s="24"/>
      <c r="Q39" s="27"/>
      <c r="R39" s="197"/>
      <c r="S39" s="197"/>
      <c r="T39" s="197"/>
      <c r="U39" s="25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</row>
    <row r="40" spans="1:73" s="1" customFormat="1" ht="16.5" customHeight="1" x14ac:dyDescent="0.2">
      <c r="A40"/>
      <c r="B40" s="129">
        <v>3</v>
      </c>
      <c r="C40" s="212"/>
      <c r="D40" s="213"/>
      <c r="E40" s="214"/>
      <c r="F40" s="126"/>
      <c r="G40" s="126"/>
      <c r="H40" s="193"/>
      <c r="I40" s="193"/>
      <c r="J40" s="195"/>
      <c r="K40" s="197"/>
      <c r="L40" s="197"/>
      <c r="M40" s="197"/>
      <c r="N40" s="24"/>
      <c r="O40" s="24"/>
      <c r="P40" s="24"/>
      <c r="Q40" s="27"/>
      <c r="R40" s="197"/>
      <c r="S40" s="197"/>
      <c r="T40" s="197"/>
      <c r="U40" s="25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</row>
    <row r="41" spans="1:73" s="1" customFormat="1" ht="16.5" customHeight="1" x14ac:dyDescent="0.2">
      <c r="A41"/>
      <c r="B41" s="129">
        <v>3</v>
      </c>
      <c r="C41" s="215"/>
      <c r="D41" s="216"/>
      <c r="E41" s="217"/>
      <c r="F41" s="126"/>
      <c r="G41" s="126"/>
      <c r="H41" s="147"/>
      <c r="I41" s="147"/>
      <c r="J41" s="125"/>
      <c r="K41" s="218"/>
      <c r="L41" s="219"/>
      <c r="M41" s="220"/>
      <c r="N41" s="24"/>
      <c r="O41" s="24"/>
      <c r="P41" s="24"/>
      <c r="Q41" s="27"/>
      <c r="R41" s="197"/>
      <c r="S41" s="197"/>
      <c r="T41" s="197"/>
      <c r="U41" s="25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</row>
    <row r="42" spans="1:73" s="1" customFormat="1" ht="16.5" customHeight="1" x14ac:dyDescent="0.2">
      <c r="A42"/>
      <c r="B42" s="129">
        <v>3</v>
      </c>
      <c r="C42" s="215"/>
      <c r="D42" s="216"/>
      <c r="E42" s="217"/>
      <c r="F42" s="126"/>
      <c r="G42" s="126"/>
      <c r="H42" s="147"/>
      <c r="I42" s="147"/>
      <c r="J42" s="125"/>
      <c r="K42" s="218"/>
      <c r="L42" s="219"/>
      <c r="M42" s="220"/>
      <c r="N42" s="24"/>
      <c r="O42" s="24"/>
      <c r="P42" s="24"/>
      <c r="Q42" s="27"/>
      <c r="R42" s="197"/>
      <c r="S42" s="197"/>
      <c r="T42" s="197"/>
      <c r="U42" s="25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</row>
    <row r="43" spans="1:73" s="1" customFormat="1" ht="16.5" customHeight="1" x14ac:dyDescent="0.2">
      <c r="A43"/>
      <c r="B43" s="129">
        <v>3</v>
      </c>
      <c r="C43" s="215"/>
      <c r="D43" s="216"/>
      <c r="E43" s="217"/>
      <c r="F43" s="126"/>
      <c r="G43" s="126"/>
      <c r="H43" s="147"/>
      <c r="I43" s="147"/>
      <c r="J43" s="125"/>
      <c r="K43" s="218"/>
      <c r="L43" s="219"/>
      <c r="M43" s="220"/>
      <c r="N43" s="24"/>
      <c r="O43" s="24"/>
      <c r="P43" s="24"/>
      <c r="Q43" s="27"/>
      <c r="R43" s="197"/>
      <c r="S43" s="197"/>
      <c r="T43" s="197"/>
      <c r="U43" s="25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</row>
    <row r="44" spans="1:73" s="1" customFormat="1" ht="16.5" customHeight="1" x14ac:dyDescent="0.2">
      <c r="A44"/>
      <c r="B44" s="129">
        <v>3</v>
      </c>
      <c r="C44" s="224"/>
      <c r="D44" s="225"/>
      <c r="E44" s="226"/>
      <c r="F44" s="126"/>
      <c r="G44" s="126"/>
      <c r="H44" s="147"/>
      <c r="I44" s="147"/>
      <c r="J44" s="125"/>
      <c r="K44" s="218"/>
      <c r="L44" s="219"/>
      <c r="M44" s="220"/>
      <c r="N44" s="24"/>
      <c r="O44" s="24"/>
      <c r="P44" s="24"/>
      <c r="Q44" s="27"/>
      <c r="R44" s="197"/>
      <c r="S44" s="197"/>
      <c r="T44" s="197"/>
      <c r="U44" s="25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</row>
    <row r="45" spans="1:73" s="1" customFormat="1" ht="16.5" customHeight="1" x14ac:dyDescent="0.2">
      <c r="A45"/>
      <c r="B45" s="130">
        <v>4</v>
      </c>
      <c r="C45" s="227"/>
      <c r="D45" s="228"/>
      <c r="E45" s="229"/>
      <c r="F45" s="125"/>
      <c r="G45" s="125"/>
      <c r="H45" s="193"/>
      <c r="I45" s="193"/>
      <c r="J45" s="195"/>
      <c r="K45" s="197"/>
      <c r="L45" s="197"/>
      <c r="M45" s="197"/>
      <c r="N45" s="24"/>
      <c r="O45" s="24"/>
      <c r="P45" s="24"/>
      <c r="Q45" s="27"/>
      <c r="R45" s="197"/>
      <c r="S45" s="197"/>
      <c r="T45" s="197"/>
      <c r="U45" s="25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</row>
    <row r="46" spans="1:73" s="1" customFormat="1" ht="16.5" customHeight="1" x14ac:dyDescent="0.2">
      <c r="A46"/>
      <c r="B46" s="130">
        <v>4</v>
      </c>
      <c r="C46" s="192"/>
      <c r="D46" s="193"/>
      <c r="E46" s="194"/>
      <c r="F46" s="126"/>
      <c r="G46" s="126"/>
      <c r="H46" s="193"/>
      <c r="I46" s="193"/>
      <c r="J46" s="195"/>
      <c r="K46" s="197"/>
      <c r="L46" s="197"/>
      <c r="M46" s="197"/>
      <c r="N46" s="24"/>
      <c r="O46" s="24"/>
      <c r="P46" s="24"/>
      <c r="Q46" s="27"/>
      <c r="R46" s="197"/>
      <c r="S46" s="197"/>
      <c r="T46" s="197"/>
      <c r="U46" s="25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</row>
    <row r="47" spans="1:73" s="1" customFormat="1" ht="16.5" customHeight="1" x14ac:dyDescent="0.2">
      <c r="A47"/>
      <c r="B47" s="130">
        <v>4</v>
      </c>
      <c r="C47" s="192"/>
      <c r="D47" s="193"/>
      <c r="E47" s="194"/>
      <c r="F47" s="126"/>
      <c r="G47" s="126"/>
      <c r="H47" s="193"/>
      <c r="I47" s="193"/>
      <c r="J47" s="195"/>
      <c r="K47" s="197"/>
      <c r="L47" s="197"/>
      <c r="M47" s="197"/>
      <c r="N47" s="24"/>
      <c r="O47" s="24"/>
      <c r="P47" s="24"/>
      <c r="Q47" s="27"/>
      <c r="R47" s="197"/>
      <c r="S47" s="197"/>
      <c r="T47" s="197"/>
      <c r="U47" s="25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</row>
    <row r="48" spans="1:73" s="1" customFormat="1" ht="16.5" customHeight="1" thickBot="1" x14ac:dyDescent="0.25">
      <c r="A48"/>
      <c r="B48" s="130">
        <v>4</v>
      </c>
      <c r="C48" s="221"/>
      <c r="D48" s="222"/>
      <c r="E48" s="223"/>
      <c r="F48" s="126"/>
      <c r="G48" s="126"/>
      <c r="H48" s="193"/>
      <c r="I48" s="193"/>
      <c r="J48" s="195"/>
      <c r="K48" s="197"/>
      <c r="L48" s="197"/>
      <c r="M48" s="197"/>
      <c r="N48" s="24"/>
      <c r="O48" s="24"/>
      <c r="P48" s="24"/>
      <c r="Q48" s="27"/>
      <c r="R48" s="197"/>
      <c r="S48" s="197"/>
      <c r="T48" s="197"/>
      <c r="U48" s="25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</row>
    <row r="49" spans="1:73" s="29" customFormat="1" ht="16.5" customHeight="1" x14ac:dyDescent="0.2">
      <c r="A49"/>
      <c r="B49" s="131">
        <v>5</v>
      </c>
      <c r="C49" s="201"/>
      <c r="D49" s="202"/>
      <c r="E49" s="203"/>
      <c r="F49" s="125"/>
      <c r="G49" s="125"/>
      <c r="H49" s="197"/>
      <c r="I49" s="197"/>
      <c r="J49" s="197"/>
      <c r="K49" s="197"/>
      <c r="L49" s="197"/>
      <c r="M49" s="197"/>
      <c r="N49" s="24"/>
      <c r="O49" s="24"/>
      <c r="P49" s="24"/>
      <c r="Q49" s="27"/>
      <c r="R49" s="197"/>
      <c r="S49" s="197"/>
      <c r="T49" s="197"/>
      <c r="U49" s="25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</row>
    <row r="50" spans="1:73" s="1" customFormat="1" ht="16.5" customHeight="1" x14ac:dyDescent="0.2">
      <c r="A50"/>
      <c r="B50" s="131">
        <v>5</v>
      </c>
      <c r="C50" s="192"/>
      <c r="D50" s="193"/>
      <c r="E50" s="194"/>
      <c r="F50" s="126"/>
      <c r="G50" s="126"/>
      <c r="H50" s="197"/>
      <c r="I50" s="197"/>
      <c r="J50" s="197"/>
      <c r="K50" s="197"/>
      <c r="L50" s="197"/>
      <c r="M50" s="197"/>
      <c r="N50" s="24"/>
      <c r="O50" s="24"/>
      <c r="P50" s="24"/>
      <c r="Q50" s="27"/>
      <c r="R50" s="197"/>
      <c r="S50" s="197"/>
      <c r="T50" s="197"/>
      <c r="U50" s="25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</row>
    <row r="51" spans="1:73" s="1" customFormat="1" ht="16.5" customHeight="1" thickBot="1" x14ac:dyDescent="0.25">
      <c r="A51"/>
      <c r="B51" s="131">
        <v>5</v>
      </c>
      <c r="C51" s="205"/>
      <c r="D51" s="206"/>
      <c r="E51" s="207"/>
      <c r="F51" s="124"/>
      <c r="G51" s="126"/>
      <c r="H51" s="197"/>
      <c r="I51" s="197"/>
      <c r="J51" s="197"/>
      <c r="K51" s="197"/>
      <c r="L51" s="197"/>
      <c r="M51" s="197"/>
      <c r="N51" s="24"/>
      <c r="O51" s="24"/>
      <c r="P51" s="24"/>
      <c r="Q51" s="27"/>
      <c r="R51" s="197"/>
      <c r="S51" s="197"/>
      <c r="T51" s="197"/>
      <c r="U51" s="25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</row>
    <row r="52" spans="1:73" s="1" customFormat="1" ht="16.5" customHeight="1" x14ac:dyDescent="0.2">
      <c r="A52"/>
      <c r="B52" s="132">
        <v>6</v>
      </c>
      <c r="C52" s="201"/>
      <c r="D52" s="202"/>
      <c r="E52" s="203"/>
      <c r="F52" s="125"/>
      <c r="G52" s="125"/>
      <c r="H52" s="197"/>
      <c r="I52" s="197"/>
      <c r="J52" s="197"/>
      <c r="K52" s="197"/>
      <c r="L52" s="197"/>
      <c r="M52" s="197"/>
      <c r="N52" s="24"/>
      <c r="O52" s="24"/>
      <c r="P52" s="24"/>
      <c r="Q52" s="27"/>
      <c r="R52" s="197"/>
      <c r="S52" s="197"/>
      <c r="T52" s="197"/>
      <c r="U52" s="25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</row>
    <row r="53" spans="1:73" s="1" customFormat="1" ht="16.5" customHeight="1" x14ac:dyDescent="0.2">
      <c r="A53"/>
      <c r="B53" s="132">
        <v>6</v>
      </c>
      <c r="C53" s="192"/>
      <c r="D53" s="193"/>
      <c r="E53" s="194"/>
      <c r="F53" s="126"/>
      <c r="G53" s="126"/>
      <c r="H53" s="197"/>
      <c r="I53" s="197"/>
      <c r="J53" s="197"/>
      <c r="K53" s="197"/>
      <c r="L53" s="197"/>
      <c r="M53" s="197"/>
      <c r="N53" s="24"/>
      <c r="O53" s="24"/>
      <c r="P53" s="24"/>
      <c r="Q53" s="27"/>
      <c r="R53" s="197"/>
      <c r="S53" s="197"/>
      <c r="T53" s="197"/>
      <c r="U53" s="25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</row>
    <row r="54" spans="1:73" s="1" customFormat="1" ht="16.5" customHeight="1" x14ac:dyDescent="0.2">
      <c r="A54"/>
      <c r="B54" s="132">
        <v>6</v>
      </c>
      <c r="C54" s="233"/>
      <c r="D54" s="197"/>
      <c r="E54" s="234"/>
      <c r="F54" s="124"/>
      <c r="G54" s="126"/>
      <c r="H54" s="197"/>
      <c r="I54" s="197"/>
      <c r="J54" s="197"/>
      <c r="K54" s="197"/>
      <c r="L54" s="197"/>
      <c r="M54" s="197"/>
      <c r="N54" s="24"/>
      <c r="O54" s="24"/>
      <c r="P54" s="24"/>
      <c r="Q54" s="27"/>
      <c r="R54" s="197"/>
      <c r="S54" s="197"/>
      <c r="T54" s="197"/>
      <c r="U54" s="25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</row>
    <row r="55" spans="1:73" s="1" customFormat="1" ht="16.5" customHeight="1" thickBot="1" x14ac:dyDescent="0.25">
      <c r="A55"/>
      <c r="B55" s="132">
        <v>6</v>
      </c>
      <c r="C55" s="205"/>
      <c r="D55" s="206"/>
      <c r="E55" s="207"/>
      <c r="F55" s="124"/>
      <c r="G55" s="24"/>
      <c r="H55" s="197"/>
      <c r="I55" s="197"/>
      <c r="J55" s="197"/>
      <c r="K55" s="197"/>
      <c r="L55" s="197"/>
      <c r="M55" s="197"/>
      <c r="N55" s="24"/>
      <c r="O55" s="24"/>
      <c r="P55" s="24"/>
      <c r="Q55" s="27"/>
      <c r="R55" s="197"/>
      <c r="S55" s="197"/>
      <c r="T55" s="197"/>
      <c r="U55" s="25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</row>
    <row r="56" spans="1:73" s="1" customFormat="1" ht="16.5" customHeight="1" x14ac:dyDescent="0.2">
      <c r="A56"/>
      <c r="B56" s="133">
        <v>7</v>
      </c>
      <c r="C56" s="230"/>
      <c r="D56" s="231"/>
      <c r="E56" s="232"/>
      <c r="F56" s="124"/>
      <c r="G56" s="126"/>
      <c r="H56" s="197"/>
      <c r="I56" s="197"/>
      <c r="J56" s="197"/>
      <c r="K56" s="197"/>
      <c r="L56" s="197"/>
      <c r="M56" s="197"/>
      <c r="N56" s="24"/>
      <c r="O56" s="24"/>
      <c r="P56" s="24"/>
      <c r="Q56" s="27"/>
      <c r="R56" s="197"/>
      <c r="S56" s="197"/>
      <c r="T56" s="197"/>
      <c r="U56" s="25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</row>
    <row r="57" spans="1:73" s="1" customFormat="1" ht="16.5" customHeight="1" x14ac:dyDescent="0.2">
      <c r="A57"/>
      <c r="B57" s="133">
        <v>7</v>
      </c>
      <c r="C57" s="233"/>
      <c r="D57" s="197"/>
      <c r="E57" s="234"/>
      <c r="F57" s="124"/>
      <c r="G57" s="126"/>
      <c r="H57" s="197"/>
      <c r="I57" s="197"/>
      <c r="J57" s="197"/>
      <c r="K57" s="197"/>
      <c r="L57" s="197"/>
      <c r="M57" s="197"/>
      <c r="N57" s="24"/>
      <c r="O57" s="24"/>
      <c r="P57" s="24"/>
      <c r="Q57" s="27"/>
      <c r="R57" s="197"/>
      <c r="S57" s="197"/>
      <c r="T57" s="197"/>
      <c r="U57" s="25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</row>
    <row r="58" spans="1:73" s="1" customFormat="1" ht="16.5" customHeight="1" x14ac:dyDescent="0.2">
      <c r="A58"/>
      <c r="B58" s="133">
        <v>7</v>
      </c>
      <c r="C58" s="233"/>
      <c r="D58" s="197"/>
      <c r="E58" s="234"/>
      <c r="F58" s="124"/>
      <c r="G58" s="126"/>
      <c r="H58" s="197"/>
      <c r="I58" s="197"/>
      <c r="J58" s="197"/>
      <c r="K58" s="197"/>
      <c r="L58" s="197"/>
      <c r="M58" s="197"/>
      <c r="N58" s="24"/>
      <c r="O58" s="24"/>
      <c r="P58" s="24"/>
      <c r="Q58" s="27"/>
      <c r="R58" s="197"/>
      <c r="S58" s="197"/>
      <c r="T58" s="197"/>
      <c r="U58" s="25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</row>
    <row r="59" spans="1:73" s="1" customFormat="1" ht="16.5" customHeight="1" thickBot="1" x14ac:dyDescent="0.25">
      <c r="A59"/>
      <c r="B59" s="133">
        <v>7</v>
      </c>
      <c r="C59" s="205"/>
      <c r="D59" s="206"/>
      <c r="E59" s="207"/>
      <c r="F59" s="124"/>
      <c r="G59" s="126"/>
      <c r="H59" s="197"/>
      <c r="I59" s="197"/>
      <c r="J59" s="197"/>
      <c r="K59" s="197"/>
      <c r="L59" s="197"/>
      <c r="M59" s="197"/>
      <c r="N59" s="24"/>
      <c r="O59" s="24"/>
      <c r="P59" s="24"/>
      <c r="Q59" s="27"/>
      <c r="R59" s="197"/>
      <c r="S59" s="197"/>
      <c r="T59" s="197"/>
      <c r="U59" s="25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</row>
    <row r="60" spans="1:73" s="1" customFormat="1" ht="16.5" customHeight="1" x14ac:dyDescent="0.2">
      <c r="A60"/>
      <c r="B60" s="134">
        <v>8</v>
      </c>
      <c r="C60" s="230"/>
      <c r="D60" s="231"/>
      <c r="E60" s="232"/>
      <c r="F60" s="124"/>
      <c r="G60" s="126"/>
      <c r="H60" s="197"/>
      <c r="I60" s="197"/>
      <c r="J60" s="197"/>
      <c r="K60" s="197"/>
      <c r="L60" s="197"/>
      <c r="M60" s="197"/>
      <c r="N60" s="24"/>
      <c r="O60" s="24"/>
      <c r="P60" s="24"/>
      <c r="Q60" s="27"/>
      <c r="R60" s="197"/>
      <c r="S60" s="197"/>
      <c r="T60" s="197"/>
      <c r="U60" s="25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</row>
    <row r="61" spans="1:73" s="1" customFormat="1" ht="16.5" customHeight="1" x14ac:dyDescent="0.2">
      <c r="A61"/>
      <c r="B61" s="134">
        <v>8</v>
      </c>
      <c r="C61" s="233"/>
      <c r="D61" s="197"/>
      <c r="E61" s="234"/>
      <c r="F61" s="124"/>
      <c r="G61" s="126"/>
      <c r="H61" s="197"/>
      <c r="I61" s="197"/>
      <c r="J61" s="197"/>
      <c r="K61" s="197"/>
      <c r="L61" s="197"/>
      <c r="M61" s="197"/>
      <c r="N61" s="24"/>
      <c r="O61" s="24"/>
      <c r="P61" s="24"/>
      <c r="Q61" s="27"/>
      <c r="R61" s="197"/>
      <c r="S61" s="197"/>
      <c r="T61" s="197"/>
      <c r="U61" s="25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</row>
    <row r="62" spans="1:73" s="1" customFormat="1" ht="16.5" customHeight="1" x14ac:dyDescent="0.2">
      <c r="A62"/>
      <c r="B62" s="134">
        <v>8</v>
      </c>
      <c r="C62" s="233"/>
      <c r="D62" s="197"/>
      <c r="E62" s="234"/>
      <c r="F62" s="124"/>
      <c r="G62" s="126"/>
      <c r="H62" s="197"/>
      <c r="I62" s="197"/>
      <c r="J62" s="197"/>
      <c r="K62" s="197"/>
      <c r="L62" s="197"/>
      <c r="M62" s="197"/>
      <c r="N62" s="24"/>
      <c r="O62" s="24"/>
      <c r="P62" s="24"/>
      <c r="Q62" s="27"/>
      <c r="R62" s="197"/>
      <c r="S62" s="197"/>
      <c r="T62" s="197"/>
      <c r="U62" s="25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</row>
    <row r="63" spans="1:73" s="1" customFormat="1" ht="16.5" customHeight="1" thickBot="1" x14ac:dyDescent="0.25">
      <c r="A63"/>
      <c r="B63" s="134">
        <v>8</v>
      </c>
      <c r="C63" s="205"/>
      <c r="D63" s="206"/>
      <c r="E63" s="207"/>
      <c r="F63" s="124"/>
      <c r="G63" s="126"/>
      <c r="H63" s="197"/>
      <c r="I63" s="197"/>
      <c r="J63" s="197"/>
      <c r="K63" s="197"/>
      <c r="L63" s="197"/>
      <c r="M63" s="197"/>
      <c r="N63" s="24"/>
      <c r="O63" s="24"/>
      <c r="P63" s="24"/>
      <c r="Q63" s="27"/>
      <c r="R63" s="197"/>
      <c r="S63" s="197"/>
      <c r="T63" s="197"/>
      <c r="U63" s="25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</row>
    <row r="64" spans="1:73" s="1" customFormat="1" ht="16.5" customHeight="1" x14ac:dyDescent="0.2">
      <c r="A64"/>
      <c r="B64" s="135">
        <v>9</v>
      </c>
      <c r="C64" s="136"/>
      <c r="D64" s="137"/>
      <c r="E64" s="138"/>
      <c r="F64" s="118"/>
      <c r="G64" s="126"/>
      <c r="H64" s="218"/>
      <c r="I64" s="219"/>
      <c r="J64" s="220"/>
      <c r="K64" s="197"/>
      <c r="L64" s="197"/>
      <c r="M64" s="197"/>
      <c r="N64" s="24"/>
      <c r="O64" s="24"/>
      <c r="P64" s="24"/>
      <c r="Q64" s="27"/>
      <c r="R64" s="197"/>
      <c r="S64" s="197"/>
      <c r="T64" s="197"/>
      <c r="U64" s="25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</row>
    <row r="65" spans="1:73" s="1" customFormat="1" ht="16.5" customHeight="1" x14ac:dyDescent="0.2">
      <c r="A65"/>
      <c r="B65" s="135">
        <v>9</v>
      </c>
      <c r="C65" s="139"/>
      <c r="D65" s="117"/>
      <c r="E65" s="140"/>
      <c r="F65" s="118"/>
      <c r="G65" s="126"/>
      <c r="H65" s="218"/>
      <c r="I65" s="219"/>
      <c r="J65" s="220"/>
      <c r="K65" s="197"/>
      <c r="L65" s="197"/>
      <c r="M65" s="197"/>
      <c r="N65" s="24"/>
      <c r="O65" s="24"/>
      <c r="P65" s="24"/>
      <c r="Q65" s="27"/>
      <c r="R65" s="197"/>
      <c r="S65" s="197"/>
      <c r="T65" s="197"/>
      <c r="U65" s="25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</row>
    <row r="66" spans="1:73" s="1" customFormat="1" ht="16.5" customHeight="1" thickBot="1" x14ac:dyDescent="0.25">
      <c r="A66"/>
      <c r="B66" s="135">
        <v>9</v>
      </c>
      <c r="C66" s="142"/>
      <c r="D66" s="143"/>
      <c r="E66" s="144"/>
      <c r="F66" s="118"/>
      <c r="G66" s="126"/>
      <c r="H66" s="218"/>
      <c r="I66" s="219"/>
      <c r="J66" s="220"/>
      <c r="K66" s="197"/>
      <c r="L66" s="197"/>
      <c r="M66" s="197"/>
      <c r="N66" s="24"/>
      <c r="O66" s="24"/>
      <c r="P66" s="24"/>
      <c r="Q66" s="27"/>
      <c r="R66" s="197"/>
      <c r="S66" s="197"/>
      <c r="T66" s="197"/>
      <c r="U66" s="25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</row>
    <row r="67" spans="1:73" s="1" customFormat="1" ht="16.5" customHeight="1" x14ac:dyDescent="0.2">
      <c r="A67"/>
      <c r="B67" s="141">
        <v>10</v>
      </c>
      <c r="C67" s="230"/>
      <c r="D67" s="231"/>
      <c r="E67" s="232"/>
      <c r="F67" s="124"/>
      <c r="G67" s="126"/>
      <c r="H67" s="197"/>
      <c r="I67" s="197"/>
      <c r="J67" s="197"/>
      <c r="K67" s="197"/>
      <c r="L67" s="197"/>
      <c r="M67" s="197"/>
      <c r="N67" s="24"/>
      <c r="O67" s="24"/>
      <c r="P67" s="24"/>
      <c r="Q67" s="27"/>
      <c r="R67" s="197"/>
      <c r="S67" s="197"/>
      <c r="T67" s="197"/>
      <c r="U67" s="25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</row>
    <row r="68" spans="1:73" s="1" customFormat="1" ht="16.5" customHeight="1" thickBot="1" x14ac:dyDescent="0.25">
      <c r="A68"/>
      <c r="B68" s="141">
        <v>10</v>
      </c>
      <c r="C68" s="205"/>
      <c r="D68" s="206"/>
      <c r="E68" s="207"/>
      <c r="F68" s="124"/>
      <c r="G68" s="126"/>
      <c r="H68" s="197"/>
      <c r="I68" s="197"/>
      <c r="J68" s="197"/>
      <c r="K68" s="197"/>
      <c r="L68" s="197"/>
      <c r="M68" s="197"/>
      <c r="N68" s="24"/>
      <c r="O68" s="24"/>
      <c r="P68" s="24"/>
      <c r="Q68" s="27"/>
      <c r="R68" s="197"/>
      <c r="S68" s="197"/>
      <c r="T68" s="197"/>
      <c r="U68" s="25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</row>
    <row r="69" spans="1:73" s="1" customFormat="1" ht="16.5" customHeight="1" thickBot="1" x14ac:dyDescent="0.25">
      <c r="A69"/>
      <c r="B69" s="145">
        <v>11</v>
      </c>
      <c r="C69" s="235"/>
      <c r="D69" s="236"/>
      <c r="E69" s="237"/>
      <c r="F69" s="124"/>
      <c r="G69" s="126"/>
      <c r="H69" s="197"/>
      <c r="I69" s="197"/>
      <c r="J69" s="197"/>
      <c r="K69" s="197"/>
      <c r="L69" s="197"/>
      <c r="M69" s="197"/>
      <c r="N69" s="24"/>
      <c r="O69" s="24"/>
      <c r="P69" s="24"/>
      <c r="Q69" s="27"/>
      <c r="R69" s="197"/>
      <c r="S69" s="197"/>
      <c r="T69" s="197"/>
      <c r="U69" s="25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</row>
    <row r="70" spans="1:73" s="29" customFormat="1" ht="16.5" customHeight="1" thickBot="1" x14ac:dyDescent="0.25">
      <c r="A70"/>
      <c r="B70" s="146">
        <v>12</v>
      </c>
      <c r="C70" s="235"/>
      <c r="D70" s="236"/>
      <c r="E70" s="237"/>
      <c r="F70" s="124"/>
      <c r="G70" s="126"/>
      <c r="H70" s="197"/>
      <c r="I70" s="197"/>
      <c r="J70" s="197"/>
      <c r="K70" s="197"/>
      <c r="L70" s="197"/>
      <c r="M70" s="197"/>
      <c r="N70" s="24"/>
      <c r="O70" s="24"/>
      <c r="P70" s="24"/>
      <c r="Q70" s="27"/>
      <c r="R70" s="197"/>
      <c r="S70" s="197"/>
      <c r="T70" s="197"/>
      <c r="U70" s="25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</row>
    <row r="71" spans="1:73" s="1" customFormat="1" ht="16.5" customHeight="1" thickBot="1" x14ac:dyDescent="0.25">
      <c r="B71" s="135">
        <v>13</v>
      </c>
      <c r="C71" s="238"/>
      <c r="D71" s="239"/>
      <c r="E71" s="240"/>
      <c r="F71" s="124"/>
      <c r="G71" s="126"/>
      <c r="H71" s="197"/>
      <c r="I71" s="197"/>
      <c r="J71" s="197"/>
      <c r="K71" s="197"/>
      <c r="L71" s="197"/>
      <c r="M71" s="197"/>
      <c r="N71" s="24"/>
      <c r="O71" s="24"/>
      <c r="P71" s="24"/>
      <c r="Q71" s="27"/>
      <c r="R71" s="197"/>
      <c r="S71" s="197"/>
      <c r="T71" s="197"/>
      <c r="U71" s="25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</row>
    <row r="72" spans="1:73" s="1" customFormat="1" ht="16.5" customHeight="1" x14ac:dyDescent="0.2">
      <c r="B72" s="34"/>
      <c r="C72" s="211"/>
      <c r="D72" s="211"/>
      <c r="E72" s="211"/>
      <c r="F72" s="27"/>
      <c r="G72" s="24"/>
      <c r="H72" s="197"/>
      <c r="I72" s="197"/>
      <c r="J72" s="197"/>
      <c r="K72" s="197"/>
      <c r="L72" s="197"/>
      <c r="M72" s="197"/>
      <c r="N72" s="24"/>
      <c r="O72" s="24"/>
      <c r="P72" s="24"/>
      <c r="Q72" s="27"/>
      <c r="R72" s="197"/>
      <c r="S72" s="197"/>
      <c r="T72" s="197"/>
      <c r="U72" s="25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</row>
    <row r="73" spans="1:73" s="1" customFormat="1" ht="16.5" customHeight="1" x14ac:dyDescent="0.2">
      <c r="J73" s="197"/>
      <c r="K73" s="197"/>
      <c r="L73" s="197"/>
      <c r="M73" s="24"/>
      <c r="N73" s="24"/>
      <c r="O73" s="24"/>
      <c r="P73" s="27"/>
      <c r="Q73" s="197"/>
      <c r="R73" s="197"/>
      <c r="S73" s="197"/>
      <c r="T73" s="25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</row>
    <row r="74" spans="1:73" s="1" customFormat="1" ht="23.25" customHeight="1" x14ac:dyDescent="0.2">
      <c r="C74" s="2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</row>
    <row r="75" spans="1:73" s="1" customFormat="1" ht="23.25" customHeight="1" x14ac:dyDescent="0.2">
      <c r="C75" s="2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</row>
    <row r="76" spans="1:73" s="1" customFormat="1" ht="23.25" customHeight="1" thickBot="1" x14ac:dyDescent="0.25">
      <c r="C76" s="2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</row>
    <row r="77" spans="1:73" s="1" customFormat="1" ht="42" customHeight="1" x14ac:dyDescent="0.2">
      <c r="B77" s="34">
        <v>9</v>
      </c>
      <c r="C77" s="248" t="s">
        <v>48</v>
      </c>
      <c r="D77" s="249"/>
      <c r="E77" s="250"/>
      <c r="F77" s="37"/>
      <c r="G77" s="37"/>
      <c r="H77" s="37"/>
      <c r="I77" s="37"/>
      <c r="J77" s="37"/>
      <c r="K77" s="37"/>
      <c r="L77" s="38"/>
      <c r="M77" s="39"/>
      <c r="N77" s="39"/>
      <c r="O77" s="39"/>
      <c r="P77" s="39"/>
      <c r="Q77" s="39"/>
      <c r="R77" s="39"/>
      <c r="S77" s="39"/>
      <c r="T77" s="39"/>
      <c r="U77" s="116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</row>
    <row r="78" spans="1:73" ht="38.25" customHeight="1" x14ac:dyDescent="0.2">
      <c r="B78" s="36">
        <v>10</v>
      </c>
      <c r="C78" s="40"/>
      <c r="D78" s="40" t="s">
        <v>49</v>
      </c>
      <c r="E78" s="40"/>
      <c r="F78" s="40" t="s">
        <v>50</v>
      </c>
      <c r="G78" s="40"/>
      <c r="H78" s="40" t="s">
        <v>51</v>
      </c>
      <c r="I78" s="40"/>
      <c r="J78" s="40"/>
      <c r="K78" s="40" t="s">
        <v>52</v>
      </c>
      <c r="L78" s="41"/>
      <c r="M78" s="3"/>
      <c r="N78" s="3"/>
      <c r="O78" s="3"/>
      <c r="P78" s="3"/>
    </row>
    <row r="79" spans="1:73" ht="21" customHeight="1" thickBot="1" x14ac:dyDescent="0.25">
      <c r="B79" s="42" t="s">
        <v>53</v>
      </c>
      <c r="C79" s="43" t="s">
        <v>54</v>
      </c>
      <c r="D79" s="43" t="s">
        <v>55</v>
      </c>
      <c r="E79" s="43" t="s">
        <v>56</v>
      </c>
      <c r="F79" s="43" t="s">
        <v>57</v>
      </c>
      <c r="G79" s="43" t="s">
        <v>58</v>
      </c>
      <c r="H79" s="43" t="s">
        <v>57</v>
      </c>
      <c r="I79" s="43" t="s">
        <v>59</v>
      </c>
      <c r="J79" s="43" t="s">
        <v>58</v>
      </c>
      <c r="K79" s="43" t="s">
        <v>60</v>
      </c>
      <c r="L79" s="44" t="s">
        <v>61</v>
      </c>
      <c r="M79" s="3"/>
      <c r="N79" s="3"/>
      <c r="O79" s="3"/>
      <c r="P79" s="3"/>
    </row>
    <row r="80" spans="1:73" ht="23.25" customHeight="1" x14ac:dyDescent="0.2">
      <c r="B80" s="45">
        <v>1</v>
      </c>
      <c r="C80" s="46">
        <v>45019</v>
      </c>
      <c r="D80" s="47"/>
      <c r="E80" s="47"/>
      <c r="F80" s="48"/>
      <c r="G80" s="48"/>
      <c r="H80" s="47"/>
      <c r="I80" s="47"/>
      <c r="J80" s="47"/>
      <c r="K80" s="48"/>
      <c r="L80" s="49"/>
      <c r="M80" s="3"/>
      <c r="N80" s="3"/>
      <c r="O80" s="3"/>
      <c r="P80" s="3"/>
    </row>
    <row r="81" spans="2:72" ht="23.25" customHeight="1" x14ac:dyDescent="0.2">
      <c r="B81" s="50">
        <v>2</v>
      </c>
      <c r="C81" s="51">
        <v>45026</v>
      </c>
      <c r="D81" s="52"/>
      <c r="E81" s="52"/>
      <c r="F81" s="53"/>
      <c r="G81" s="53"/>
      <c r="H81" s="52"/>
      <c r="I81" s="52"/>
      <c r="J81" s="52"/>
      <c r="K81" s="53"/>
      <c r="L81" s="54"/>
      <c r="M81" s="3"/>
      <c r="N81" s="3"/>
      <c r="O81" s="3"/>
      <c r="P81" s="3"/>
    </row>
    <row r="82" spans="2:72" ht="23.25" customHeight="1" x14ac:dyDescent="0.2">
      <c r="B82" s="50">
        <v>3</v>
      </c>
      <c r="C82" s="51">
        <f t="shared" ref="C82:C131" si="1">C81+7</f>
        <v>45033</v>
      </c>
      <c r="D82" s="52"/>
      <c r="E82" s="52"/>
      <c r="F82" s="53"/>
      <c r="G82" s="53"/>
      <c r="H82" s="52"/>
      <c r="I82" s="52"/>
      <c r="J82" s="52"/>
      <c r="K82" s="53"/>
      <c r="L82" s="54"/>
      <c r="M82" s="3"/>
      <c r="N82" s="3"/>
      <c r="O82" s="3"/>
      <c r="P82" s="3"/>
    </row>
    <row r="83" spans="2:72" ht="23.25" customHeight="1" x14ac:dyDescent="0.2">
      <c r="B83" s="50">
        <v>4</v>
      </c>
      <c r="C83" s="51">
        <f t="shared" si="1"/>
        <v>45040</v>
      </c>
      <c r="D83" s="52"/>
      <c r="E83" s="52"/>
      <c r="F83" s="53"/>
      <c r="G83" s="53"/>
      <c r="H83" s="52"/>
      <c r="I83" s="52"/>
      <c r="J83" s="52"/>
      <c r="K83" s="53"/>
      <c r="L83" s="54"/>
      <c r="M83" s="3"/>
      <c r="N83" s="3"/>
      <c r="O83" s="3"/>
      <c r="P83" s="3"/>
    </row>
    <row r="84" spans="2:72" ht="23.25" customHeight="1" x14ac:dyDescent="0.2">
      <c r="B84" s="50">
        <v>5</v>
      </c>
      <c r="C84" s="51">
        <f t="shared" si="1"/>
        <v>45047</v>
      </c>
      <c r="D84" s="52"/>
      <c r="E84" s="52"/>
      <c r="F84" s="53"/>
      <c r="G84" s="53"/>
      <c r="H84" s="52"/>
      <c r="I84" s="52"/>
      <c r="J84" s="52"/>
      <c r="K84" s="53"/>
      <c r="L84" s="54"/>
      <c r="M84" s="3"/>
      <c r="N84" s="3"/>
      <c r="O84" s="3"/>
      <c r="P84" s="3"/>
    </row>
    <row r="85" spans="2:72" ht="23.25" customHeight="1" x14ac:dyDescent="0.2">
      <c r="B85" s="50">
        <v>6</v>
      </c>
      <c r="C85" s="51">
        <f t="shared" si="1"/>
        <v>45054</v>
      </c>
      <c r="D85" s="52"/>
      <c r="E85" s="52"/>
      <c r="F85" s="53"/>
      <c r="G85" s="53"/>
      <c r="H85" s="52"/>
      <c r="I85" s="52"/>
      <c r="J85" s="52"/>
      <c r="K85" s="53"/>
      <c r="L85" s="54"/>
      <c r="M85" s="3"/>
      <c r="N85" s="3"/>
      <c r="O85" s="3"/>
      <c r="P85" s="3"/>
    </row>
    <row r="86" spans="2:72" ht="23.25" customHeight="1" x14ac:dyDescent="0.2">
      <c r="B86" s="50">
        <v>7</v>
      </c>
      <c r="C86" s="51">
        <f t="shared" si="1"/>
        <v>45061</v>
      </c>
      <c r="D86" s="52"/>
      <c r="E86" s="52"/>
      <c r="F86" s="53"/>
      <c r="G86" s="53"/>
      <c r="H86" s="52"/>
      <c r="I86" s="52"/>
      <c r="J86" s="52"/>
      <c r="K86" s="53"/>
      <c r="L86" s="54"/>
      <c r="M86" s="3"/>
      <c r="N86" s="3"/>
      <c r="O86" s="3"/>
      <c r="P86" s="3"/>
    </row>
    <row r="87" spans="2:72" ht="23.25" customHeight="1" x14ac:dyDescent="0.2">
      <c r="B87" s="50">
        <v>8</v>
      </c>
      <c r="C87" s="51">
        <f t="shared" si="1"/>
        <v>45068</v>
      </c>
      <c r="D87" s="52"/>
      <c r="E87" s="52"/>
      <c r="F87" s="53"/>
      <c r="G87" s="53"/>
      <c r="H87" s="52"/>
      <c r="J87" s="52"/>
      <c r="K87" s="53"/>
      <c r="L87" s="54"/>
      <c r="M87" s="3"/>
      <c r="N87" s="3"/>
      <c r="O87" s="3"/>
      <c r="P87" s="3"/>
    </row>
    <row r="88" spans="2:72" ht="23.25" customHeight="1" thickBot="1" x14ac:dyDescent="0.25">
      <c r="B88" s="50">
        <v>9</v>
      </c>
      <c r="C88" s="51">
        <f t="shared" si="1"/>
        <v>45075</v>
      </c>
      <c r="D88" s="52"/>
      <c r="E88" s="52"/>
      <c r="F88" s="53"/>
      <c r="G88" s="53"/>
      <c r="H88" s="52"/>
      <c r="I88" s="52"/>
      <c r="J88" s="52"/>
      <c r="K88" s="53"/>
      <c r="L88" s="54"/>
      <c r="M88" s="3"/>
      <c r="N88" s="3"/>
      <c r="O88" s="3"/>
      <c r="P88" s="3"/>
    </row>
    <row r="89" spans="2:72" ht="23.25" customHeight="1" x14ac:dyDescent="0.2">
      <c r="B89" s="50">
        <v>10</v>
      </c>
      <c r="C89" s="51">
        <f t="shared" si="1"/>
        <v>45082</v>
      </c>
      <c r="D89" s="52"/>
      <c r="E89" s="52"/>
      <c r="F89" s="53"/>
      <c r="G89" s="53"/>
      <c r="H89" s="52"/>
      <c r="I89" s="52"/>
      <c r="J89" s="52"/>
      <c r="K89" s="53"/>
      <c r="L89" s="54"/>
      <c r="M89" s="3"/>
      <c r="N89" s="241" t="s">
        <v>62</v>
      </c>
      <c r="O89" s="242"/>
      <c r="P89" s="243"/>
    </row>
    <row r="90" spans="2:72" ht="23.25" customHeight="1" x14ac:dyDescent="0.2">
      <c r="B90" s="50">
        <v>11</v>
      </c>
      <c r="C90" s="51">
        <f t="shared" si="1"/>
        <v>45089</v>
      </c>
      <c r="D90" s="52"/>
      <c r="E90" s="52"/>
      <c r="F90" s="53"/>
      <c r="G90" s="53"/>
      <c r="H90" s="52"/>
      <c r="I90" s="52"/>
      <c r="J90" s="52"/>
      <c r="K90" s="53"/>
      <c r="L90" s="54"/>
      <c r="M90" s="3"/>
      <c r="N90" s="244" t="s">
        <v>63</v>
      </c>
      <c r="O90" s="245"/>
      <c r="P90" s="55">
        <f>SUM(D80:D93)</f>
        <v>0</v>
      </c>
    </row>
    <row r="91" spans="2:72" ht="23.25" customHeight="1" x14ac:dyDescent="0.2">
      <c r="B91" s="50">
        <v>12</v>
      </c>
      <c r="C91" s="51">
        <f t="shared" si="1"/>
        <v>45096</v>
      </c>
      <c r="D91" s="52"/>
      <c r="E91" s="52"/>
      <c r="F91" s="53"/>
      <c r="G91" s="53"/>
      <c r="H91" s="52"/>
      <c r="I91" s="52"/>
      <c r="J91" s="52"/>
      <c r="K91" s="53"/>
      <c r="L91" s="54"/>
      <c r="M91" s="3"/>
      <c r="N91" s="244" t="s">
        <v>64</v>
      </c>
      <c r="O91" s="245"/>
      <c r="P91" s="55">
        <f>SUM(G80:G93)</f>
        <v>0</v>
      </c>
    </row>
    <row r="92" spans="2:72" ht="23.25" customHeight="1" x14ac:dyDescent="0.2">
      <c r="B92" s="50">
        <v>13</v>
      </c>
      <c r="C92" s="51">
        <f t="shared" si="1"/>
        <v>45103</v>
      </c>
      <c r="D92" s="52"/>
      <c r="E92" s="52"/>
      <c r="F92" s="53"/>
      <c r="G92" s="53"/>
      <c r="H92" s="52"/>
      <c r="I92" s="52"/>
      <c r="J92" s="52"/>
      <c r="K92" s="53"/>
      <c r="L92" s="54"/>
      <c r="M92" s="3"/>
      <c r="N92" s="244" t="s">
        <v>65</v>
      </c>
      <c r="O92" s="245"/>
      <c r="P92" s="55">
        <f>SUM(J80:J93)</f>
        <v>0</v>
      </c>
    </row>
    <row r="93" spans="2:72" ht="23.25" customHeight="1" thickBot="1" x14ac:dyDescent="0.25">
      <c r="B93" s="56">
        <v>14</v>
      </c>
      <c r="C93" s="51">
        <f t="shared" si="1"/>
        <v>45110</v>
      </c>
      <c r="D93" s="57"/>
      <c r="E93" s="57"/>
      <c r="F93" s="58"/>
      <c r="G93" s="58"/>
      <c r="H93" s="57"/>
      <c r="I93" s="57"/>
      <c r="J93" s="57"/>
      <c r="K93" s="58"/>
      <c r="L93" s="59"/>
      <c r="M93" s="3"/>
      <c r="N93" s="246" t="s">
        <v>66</v>
      </c>
      <c r="O93" s="247"/>
      <c r="P93" s="60">
        <f>SUM(L80:L93)</f>
        <v>0</v>
      </c>
    </row>
    <row r="94" spans="2:72" ht="23.25" customHeight="1" x14ac:dyDescent="0.2">
      <c r="B94" s="45">
        <v>15</v>
      </c>
      <c r="C94" s="51">
        <f t="shared" si="1"/>
        <v>45117</v>
      </c>
      <c r="D94" s="47"/>
      <c r="E94" s="47"/>
      <c r="F94" s="48"/>
      <c r="G94" s="48"/>
      <c r="H94" s="47"/>
      <c r="I94" s="47"/>
      <c r="J94" s="47"/>
      <c r="K94" s="48"/>
      <c r="L94" s="49"/>
      <c r="M94" s="3"/>
      <c r="N94" s="3"/>
      <c r="O94" s="3"/>
      <c r="P94" s="3"/>
    </row>
    <row r="95" spans="2:72" s="1" customFormat="1" ht="23.25" customHeight="1" x14ac:dyDescent="0.2">
      <c r="B95" s="50">
        <v>16</v>
      </c>
      <c r="C95" s="51">
        <f t="shared" si="1"/>
        <v>45124</v>
      </c>
      <c r="D95" s="52"/>
      <c r="E95" s="52"/>
      <c r="F95" s="53"/>
      <c r="G95" s="53"/>
      <c r="H95" s="52"/>
      <c r="I95" s="52"/>
      <c r="J95" s="52"/>
      <c r="K95" s="53"/>
      <c r="L95" s="5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</row>
    <row r="96" spans="2:72" s="1" customFormat="1" ht="23.25" customHeight="1" x14ac:dyDescent="0.2">
      <c r="B96" s="50">
        <v>17</v>
      </c>
      <c r="C96" s="51">
        <f t="shared" si="1"/>
        <v>45131</v>
      </c>
      <c r="D96" s="52"/>
      <c r="E96" s="52"/>
      <c r="F96" s="53"/>
      <c r="G96" s="53"/>
      <c r="H96" s="52"/>
      <c r="I96" s="52"/>
      <c r="J96" s="52"/>
      <c r="K96" s="53"/>
      <c r="L96" s="5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</row>
    <row r="97" spans="2:72" s="1" customFormat="1" ht="23.25" customHeight="1" x14ac:dyDescent="0.2">
      <c r="B97" s="50">
        <v>18</v>
      </c>
      <c r="C97" s="51">
        <f t="shared" si="1"/>
        <v>45138</v>
      </c>
      <c r="D97" s="52"/>
      <c r="E97" s="52"/>
      <c r="F97" s="53"/>
      <c r="G97" s="53"/>
      <c r="H97" s="52"/>
      <c r="I97" s="52"/>
      <c r="J97" s="52"/>
      <c r="K97" s="53"/>
      <c r="L97" s="5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</row>
    <row r="98" spans="2:72" s="1" customFormat="1" ht="23.25" customHeight="1" x14ac:dyDescent="0.2">
      <c r="B98" s="50">
        <v>19</v>
      </c>
      <c r="C98" s="51">
        <f t="shared" si="1"/>
        <v>45145</v>
      </c>
      <c r="D98" s="52"/>
      <c r="E98" s="52"/>
      <c r="F98" s="53"/>
      <c r="G98" s="53"/>
      <c r="H98" s="52"/>
      <c r="I98" s="52"/>
      <c r="J98" s="52"/>
      <c r="K98" s="53"/>
      <c r="L98" s="5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</row>
    <row r="99" spans="2:72" s="1" customFormat="1" ht="23.25" customHeight="1" x14ac:dyDescent="0.2">
      <c r="B99" s="50">
        <v>20</v>
      </c>
      <c r="C99" s="51">
        <f t="shared" si="1"/>
        <v>45152</v>
      </c>
      <c r="D99" s="52"/>
      <c r="E99" s="52"/>
      <c r="F99" s="53"/>
      <c r="G99" s="53"/>
      <c r="H99" s="52"/>
      <c r="I99" s="52"/>
      <c r="J99" s="52"/>
      <c r="K99" s="53"/>
      <c r="L99" s="5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</row>
    <row r="100" spans="2:72" s="1" customFormat="1" ht="23.25" customHeight="1" x14ac:dyDescent="0.2">
      <c r="B100" s="50">
        <v>21</v>
      </c>
      <c r="C100" s="51">
        <f t="shared" si="1"/>
        <v>45159</v>
      </c>
      <c r="D100" s="52"/>
      <c r="E100" s="52"/>
      <c r="F100" s="53"/>
      <c r="G100" s="53"/>
      <c r="H100" s="52"/>
      <c r="I100" s="52"/>
      <c r="J100" s="52"/>
      <c r="K100" s="53"/>
      <c r="L100" s="5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</row>
    <row r="101" spans="2:72" s="1" customFormat="1" ht="23.25" customHeight="1" thickBot="1" x14ac:dyDescent="0.25">
      <c r="B101" s="50">
        <v>22</v>
      </c>
      <c r="C101" s="51">
        <f t="shared" si="1"/>
        <v>45166</v>
      </c>
      <c r="D101" s="52"/>
      <c r="E101" s="52"/>
      <c r="F101" s="53"/>
      <c r="G101" s="53"/>
      <c r="H101" s="52"/>
      <c r="I101" s="52"/>
      <c r="J101" s="52"/>
      <c r="K101" s="53"/>
      <c r="L101" s="54"/>
      <c r="M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</row>
    <row r="102" spans="2:72" s="1" customFormat="1" ht="23.25" customHeight="1" x14ac:dyDescent="0.2">
      <c r="B102" s="50">
        <v>23</v>
      </c>
      <c r="C102" s="51">
        <f t="shared" si="1"/>
        <v>45173</v>
      </c>
      <c r="D102" s="52"/>
      <c r="E102" s="52"/>
      <c r="F102" s="53"/>
      <c r="G102" s="53"/>
      <c r="H102" s="52"/>
      <c r="I102" s="52"/>
      <c r="J102" s="52"/>
      <c r="K102" s="53"/>
      <c r="L102" s="54"/>
      <c r="M102" s="3"/>
      <c r="N102" s="241" t="s">
        <v>67</v>
      </c>
      <c r="O102" s="242"/>
      <c r="P102" s="24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</row>
    <row r="103" spans="2:72" s="1" customFormat="1" ht="23.25" customHeight="1" x14ac:dyDescent="0.2">
      <c r="B103" s="50">
        <v>24</v>
      </c>
      <c r="C103" s="51">
        <f t="shared" si="1"/>
        <v>45180</v>
      </c>
      <c r="D103" s="52"/>
      <c r="E103" s="52"/>
      <c r="F103" s="53"/>
      <c r="G103" s="53"/>
      <c r="H103" s="52"/>
      <c r="I103" s="52"/>
      <c r="J103" s="52"/>
      <c r="K103" s="53"/>
      <c r="L103" s="54"/>
      <c r="M103" s="3"/>
      <c r="N103" s="244" t="s">
        <v>63</v>
      </c>
      <c r="O103" s="245"/>
      <c r="P103" s="55">
        <f>SUM(D94:D106)</f>
        <v>0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</row>
    <row r="104" spans="2:72" s="1" customFormat="1" ht="23.25" customHeight="1" x14ac:dyDescent="0.2">
      <c r="B104" s="50">
        <v>25</v>
      </c>
      <c r="C104" s="51">
        <f t="shared" si="1"/>
        <v>45187</v>
      </c>
      <c r="D104" s="52"/>
      <c r="E104" s="52"/>
      <c r="F104" s="53"/>
      <c r="G104" s="53"/>
      <c r="H104" s="52"/>
      <c r="I104" s="52"/>
      <c r="J104" s="52"/>
      <c r="K104" s="53"/>
      <c r="L104" s="54"/>
      <c r="M104" s="3"/>
      <c r="N104" s="244" t="s">
        <v>64</v>
      </c>
      <c r="O104" s="245"/>
      <c r="P104" s="55">
        <f>SUM(G94:G106)</f>
        <v>0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</row>
    <row r="105" spans="2:72" s="1" customFormat="1" ht="23.25" customHeight="1" x14ac:dyDescent="0.2">
      <c r="B105" s="50">
        <v>26</v>
      </c>
      <c r="C105" s="51">
        <f t="shared" si="1"/>
        <v>45194</v>
      </c>
      <c r="D105" s="52"/>
      <c r="E105" s="52"/>
      <c r="F105" s="53"/>
      <c r="G105" s="53"/>
      <c r="H105" s="52"/>
      <c r="I105" s="52"/>
      <c r="J105" s="52"/>
      <c r="K105" s="53"/>
      <c r="L105" s="54"/>
      <c r="M105" s="3"/>
      <c r="N105" s="244" t="s">
        <v>65</v>
      </c>
      <c r="O105" s="245"/>
      <c r="P105" s="55">
        <f>SUM(J94:J106)</f>
        <v>0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</row>
    <row r="106" spans="2:72" s="1" customFormat="1" ht="23.25" customHeight="1" thickBot="1" x14ac:dyDescent="0.25">
      <c r="B106" s="56">
        <v>27</v>
      </c>
      <c r="C106" s="51">
        <f t="shared" si="1"/>
        <v>45201</v>
      </c>
      <c r="D106" s="57"/>
      <c r="E106" s="57"/>
      <c r="F106" s="58"/>
      <c r="G106" s="58"/>
      <c r="H106" s="57"/>
      <c r="I106" s="57"/>
      <c r="J106" s="57"/>
      <c r="K106" s="58"/>
      <c r="L106" s="59"/>
      <c r="M106" s="3"/>
      <c r="N106" s="246" t="s">
        <v>66</v>
      </c>
      <c r="O106" s="247"/>
      <c r="P106" s="60">
        <f>SUM(L94:L106)</f>
        <v>0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</row>
    <row r="107" spans="2:72" s="1" customFormat="1" ht="23.25" customHeight="1" x14ac:dyDescent="0.2">
      <c r="B107" s="45">
        <v>28</v>
      </c>
      <c r="C107" s="51">
        <f t="shared" si="1"/>
        <v>45208</v>
      </c>
      <c r="D107" s="47"/>
      <c r="E107" s="47"/>
      <c r="F107" s="48"/>
      <c r="G107" s="48"/>
      <c r="H107" s="47"/>
      <c r="I107" s="47"/>
      <c r="J107" s="47"/>
      <c r="K107" s="48"/>
      <c r="L107" s="49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</row>
    <row r="108" spans="2:72" s="1" customFormat="1" ht="23.25" customHeight="1" x14ac:dyDescent="0.2">
      <c r="B108" s="50">
        <v>29</v>
      </c>
      <c r="C108" s="51">
        <f t="shared" si="1"/>
        <v>45215</v>
      </c>
      <c r="D108" s="52"/>
      <c r="E108" s="52"/>
      <c r="F108" s="53"/>
      <c r="G108" s="53"/>
      <c r="H108" s="52"/>
      <c r="I108" s="52"/>
      <c r="J108" s="52"/>
      <c r="K108" s="53"/>
      <c r="L108" s="5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</row>
    <row r="109" spans="2:72" s="1" customFormat="1" ht="23.25" customHeight="1" x14ac:dyDescent="0.2">
      <c r="B109" s="50">
        <v>30</v>
      </c>
      <c r="C109" s="51">
        <f t="shared" si="1"/>
        <v>45222</v>
      </c>
      <c r="D109" s="52"/>
      <c r="E109" s="52"/>
      <c r="F109" s="53"/>
      <c r="G109" s="53"/>
      <c r="H109" s="52"/>
      <c r="I109" s="52"/>
      <c r="J109" s="52"/>
      <c r="K109" s="53"/>
      <c r="L109" s="5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</row>
    <row r="110" spans="2:72" s="1" customFormat="1" ht="23.25" customHeight="1" x14ac:dyDescent="0.2">
      <c r="B110" s="50">
        <v>31</v>
      </c>
      <c r="C110" s="51">
        <f t="shared" si="1"/>
        <v>45229</v>
      </c>
      <c r="D110" s="52"/>
      <c r="E110" s="52"/>
      <c r="F110" s="53"/>
      <c r="G110" s="53"/>
      <c r="H110" s="52"/>
      <c r="I110" s="52"/>
      <c r="J110" s="52"/>
      <c r="K110" s="53"/>
      <c r="L110" s="5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</row>
    <row r="111" spans="2:72" s="1" customFormat="1" ht="23.25" customHeight="1" x14ac:dyDescent="0.2">
      <c r="B111" s="50">
        <v>32</v>
      </c>
      <c r="C111" s="51">
        <f t="shared" si="1"/>
        <v>45236</v>
      </c>
      <c r="D111" s="52"/>
      <c r="E111" s="52"/>
      <c r="F111" s="53"/>
      <c r="G111" s="53"/>
      <c r="H111" s="52"/>
      <c r="I111" s="52"/>
      <c r="J111" s="52"/>
      <c r="K111" s="53"/>
      <c r="L111" s="5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</row>
    <row r="112" spans="2:72" s="1" customFormat="1" ht="23.25" customHeight="1" x14ac:dyDescent="0.2">
      <c r="B112" s="50">
        <v>33</v>
      </c>
      <c r="C112" s="51">
        <f t="shared" si="1"/>
        <v>45243</v>
      </c>
      <c r="D112" s="52"/>
      <c r="E112" s="52"/>
      <c r="F112" s="53"/>
      <c r="G112" s="53"/>
      <c r="H112" s="52"/>
      <c r="I112" s="52"/>
      <c r="J112" s="52"/>
      <c r="K112" s="53"/>
      <c r="L112" s="5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</row>
    <row r="113" spans="2:72" s="1" customFormat="1" ht="23.25" customHeight="1" x14ac:dyDescent="0.2">
      <c r="B113" s="50">
        <v>34</v>
      </c>
      <c r="C113" s="51">
        <f t="shared" si="1"/>
        <v>45250</v>
      </c>
      <c r="D113" s="52"/>
      <c r="E113" s="52"/>
      <c r="F113" s="53"/>
      <c r="G113" s="53"/>
      <c r="H113" s="52"/>
      <c r="I113" s="52"/>
      <c r="J113" s="52"/>
      <c r="K113" s="53"/>
      <c r="L113" s="5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</row>
    <row r="114" spans="2:72" s="1" customFormat="1" ht="23.25" customHeight="1" thickBot="1" x14ac:dyDescent="0.25">
      <c r="B114" s="50">
        <v>35</v>
      </c>
      <c r="C114" s="51">
        <f t="shared" si="1"/>
        <v>45257</v>
      </c>
      <c r="D114" s="52"/>
      <c r="E114" s="52"/>
      <c r="F114" s="53"/>
      <c r="G114" s="53"/>
      <c r="H114" s="52"/>
      <c r="I114" s="52"/>
      <c r="J114" s="52"/>
      <c r="K114" s="53"/>
      <c r="L114" s="5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</row>
    <row r="115" spans="2:72" s="1" customFormat="1" ht="23.25" customHeight="1" x14ac:dyDescent="0.2">
      <c r="B115" s="50">
        <v>36</v>
      </c>
      <c r="C115" s="51">
        <f t="shared" si="1"/>
        <v>45264</v>
      </c>
      <c r="D115" s="52"/>
      <c r="E115" s="52"/>
      <c r="F115" s="53"/>
      <c r="G115" s="53"/>
      <c r="H115" s="52"/>
      <c r="I115" s="52"/>
      <c r="J115" s="52"/>
      <c r="K115" s="53"/>
      <c r="L115" s="54"/>
      <c r="M115" s="3"/>
      <c r="N115" s="241" t="s">
        <v>68</v>
      </c>
      <c r="O115" s="242"/>
      <c r="P115" s="24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</row>
    <row r="116" spans="2:72" s="1" customFormat="1" ht="23.25" customHeight="1" x14ac:dyDescent="0.2">
      <c r="B116" s="50">
        <v>37</v>
      </c>
      <c r="C116" s="51">
        <f t="shared" si="1"/>
        <v>45271</v>
      </c>
      <c r="D116" s="52"/>
      <c r="E116" s="52"/>
      <c r="F116" s="53"/>
      <c r="G116" s="53"/>
      <c r="H116" s="52"/>
      <c r="I116" s="52"/>
      <c r="J116" s="52"/>
      <c r="K116" s="53"/>
      <c r="L116" s="54"/>
      <c r="M116" s="3"/>
      <c r="N116" s="244" t="s">
        <v>63</v>
      </c>
      <c r="O116" s="245"/>
      <c r="P116" s="55">
        <f>SUM(D107:D119)</f>
        <v>0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</row>
    <row r="117" spans="2:72" s="1" customFormat="1" ht="23.25" customHeight="1" x14ac:dyDescent="0.2">
      <c r="B117" s="50">
        <v>38</v>
      </c>
      <c r="C117" s="51">
        <f t="shared" si="1"/>
        <v>45278</v>
      </c>
      <c r="D117" s="52"/>
      <c r="E117" s="52"/>
      <c r="F117" s="53"/>
      <c r="G117" s="53"/>
      <c r="H117" s="52"/>
      <c r="I117" s="52"/>
      <c r="J117" s="52"/>
      <c r="K117" s="53"/>
      <c r="L117" s="54"/>
      <c r="M117" s="3"/>
      <c r="N117" s="251" t="s">
        <v>64</v>
      </c>
      <c r="O117" s="252"/>
      <c r="P117" s="55">
        <f>SUM(G107:G119)</f>
        <v>0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</row>
    <row r="118" spans="2:72" s="1" customFormat="1" ht="23.25" customHeight="1" x14ac:dyDescent="0.2">
      <c r="B118" s="50">
        <v>39</v>
      </c>
      <c r="C118" s="51">
        <f t="shared" si="1"/>
        <v>45285</v>
      </c>
      <c r="D118" s="52"/>
      <c r="E118" s="52"/>
      <c r="F118" s="53"/>
      <c r="G118" s="53"/>
      <c r="H118" s="52"/>
      <c r="I118" s="52"/>
      <c r="J118" s="52"/>
      <c r="K118" s="53"/>
      <c r="L118" s="54"/>
      <c r="M118" s="3"/>
      <c r="N118" s="251" t="s">
        <v>65</v>
      </c>
      <c r="O118" s="252"/>
      <c r="P118" s="55">
        <f>SUM(J107:J119)</f>
        <v>0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</row>
    <row r="119" spans="2:72" s="1" customFormat="1" ht="23.25" customHeight="1" thickBot="1" x14ac:dyDescent="0.25">
      <c r="B119" s="56">
        <v>40</v>
      </c>
      <c r="C119" s="51">
        <f t="shared" si="1"/>
        <v>45292</v>
      </c>
      <c r="D119" s="57"/>
      <c r="E119" s="57"/>
      <c r="F119" s="58"/>
      <c r="G119" s="58"/>
      <c r="H119" s="57"/>
      <c r="I119" s="57"/>
      <c r="J119" s="57"/>
      <c r="K119" s="58"/>
      <c r="L119" s="59"/>
      <c r="M119" s="3"/>
      <c r="N119" s="253" t="s">
        <v>66</v>
      </c>
      <c r="O119" s="254"/>
      <c r="P119" s="60">
        <f>SUM(L107:L119)</f>
        <v>0</v>
      </c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</row>
    <row r="120" spans="2:72" s="1" customFormat="1" ht="23.25" customHeight="1" x14ac:dyDescent="0.2">
      <c r="B120" s="61">
        <v>41</v>
      </c>
      <c r="C120" s="51">
        <f t="shared" si="1"/>
        <v>45299</v>
      </c>
      <c r="D120" s="62"/>
      <c r="E120" s="62"/>
      <c r="F120" s="63"/>
      <c r="G120" s="63"/>
      <c r="H120" s="62"/>
      <c r="I120" s="62"/>
      <c r="J120" s="62"/>
      <c r="K120" s="63"/>
      <c r="L120" s="6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</row>
    <row r="121" spans="2:72" s="1" customFormat="1" ht="23.25" customHeight="1" x14ac:dyDescent="0.2">
      <c r="B121" s="50">
        <v>42</v>
      </c>
      <c r="C121" s="51">
        <f t="shared" si="1"/>
        <v>45306</v>
      </c>
      <c r="D121" s="52"/>
      <c r="E121" s="52"/>
      <c r="F121" s="53"/>
      <c r="G121" s="53"/>
      <c r="H121" s="52"/>
      <c r="I121" s="52"/>
      <c r="J121" s="52"/>
      <c r="K121" s="53"/>
      <c r="L121" s="5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</row>
    <row r="122" spans="2:72" s="1" customFormat="1" ht="23.25" customHeight="1" x14ac:dyDescent="0.2">
      <c r="B122" s="50">
        <v>43</v>
      </c>
      <c r="C122" s="51">
        <f t="shared" si="1"/>
        <v>45313</v>
      </c>
      <c r="D122" s="52"/>
      <c r="E122" s="52"/>
      <c r="F122" s="53"/>
      <c r="G122" s="53"/>
      <c r="H122" s="52"/>
      <c r="I122" s="52"/>
      <c r="J122" s="52"/>
      <c r="K122" s="53"/>
      <c r="L122" s="5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</row>
    <row r="123" spans="2:72" s="1" customFormat="1" ht="23.25" customHeight="1" x14ac:dyDescent="0.2">
      <c r="B123" s="50">
        <v>44</v>
      </c>
      <c r="C123" s="51">
        <f t="shared" si="1"/>
        <v>45320</v>
      </c>
      <c r="D123" s="52"/>
      <c r="E123" s="52"/>
      <c r="F123" s="53"/>
      <c r="G123" s="53"/>
      <c r="H123" s="52"/>
      <c r="I123" s="52"/>
      <c r="J123" s="52"/>
      <c r="K123" s="53"/>
      <c r="L123" s="5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</row>
    <row r="124" spans="2:72" s="1" customFormat="1" ht="23.25" customHeight="1" x14ac:dyDescent="0.2">
      <c r="B124" s="50">
        <v>45</v>
      </c>
      <c r="C124" s="51">
        <f t="shared" si="1"/>
        <v>45327</v>
      </c>
      <c r="D124" s="52"/>
      <c r="E124" s="52"/>
      <c r="F124" s="53"/>
      <c r="G124" s="53"/>
      <c r="H124" s="52"/>
      <c r="I124" s="52"/>
      <c r="J124" s="52"/>
      <c r="K124" s="53"/>
      <c r="L124" s="5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</row>
    <row r="125" spans="2:72" s="1" customFormat="1" ht="23.25" customHeight="1" x14ac:dyDescent="0.2">
      <c r="B125" s="50">
        <v>46</v>
      </c>
      <c r="C125" s="51">
        <f t="shared" si="1"/>
        <v>45334</v>
      </c>
      <c r="D125" s="52"/>
      <c r="E125" s="52"/>
      <c r="F125" s="53"/>
      <c r="G125" s="53"/>
      <c r="H125" s="52"/>
      <c r="I125" s="52"/>
      <c r="J125" s="52"/>
      <c r="K125" s="53"/>
      <c r="L125" s="5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</row>
    <row r="126" spans="2:72" s="1" customFormat="1" ht="23.25" customHeight="1" x14ac:dyDescent="0.2">
      <c r="B126" s="50">
        <v>47</v>
      </c>
      <c r="C126" s="51">
        <f t="shared" si="1"/>
        <v>45341</v>
      </c>
      <c r="D126" s="52"/>
      <c r="E126" s="52"/>
      <c r="F126" s="53"/>
      <c r="G126" s="53"/>
      <c r="H126" s="52"/>
      <c r="I126" s="52"/>
      <c r="J126" s="52"/>
      <c r="K126" s="53"/>
      <c r="L126" s="5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</row>
    <row r="127" spans="2:72" s="1" customFormat="1" ht="23.25" customHeight="1" x14ac:dyDescent="0.2">
      <c r="B127" s="50">
        <v>48</v>
      </c>
      <c r="C127" s="51">
        <f t="shared" si="1"/>
        <v>45348</v>
      </c>
      <c r="D127" s="52"/>
      <c r="E127" s="52"/>
      <c r="F127" s="53"/>
      <c r="G127" s="53"/>
      <c r="H127" s="52"/>
      <c r="I127" s="52"/>
      <c r="J127" s="52"/>
      <c r="K127" s="53"/>
      <c r="L127" s="5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</row>
    <row r="128" spans="2:72" s="1" customFormat="1" ht="23.25" customHeight="1" thickBot="1" x14ac:dyDescent="0.25">
      <c r="B128" s="50">
        <v>49</v>
      </c>
      <c r="C128" s="51">
        <f t="shared" si="1"/>
        <v>45355</v>
      </c>
      <c r="D128" s="52"/>
      <c r="E128" s="52"/>
      <c r="F128" s="53"/>
      <c r="G128" s="53"/>
      <c r="H128" s="52"/>
      <c r="I128" s="52"/>
      <c r="J128" s="52"/>
      <c r="K128" s="53"/>
      <c r="L128" s="5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</row>
    <row r="129" spans="2:72" s="1" customFormat="1" ht="23.25" customHeight="1" x14ac:dyDescent="0.2">
      <c r="B129" s="50">
        <v>50</v>
      </c>
      <c r="C129" s="51">
        <f t="shared" si="1"/>
        <v>45362</v>
      </c>
      <c r="D129" s="52"/>
      <c r="E129" s="52"/>
      <c r="F129" s="53"/>
      <c r="G129" s="53"/>
      <c r="H129" s="52"/>
      <c r="I129" s="52"/>
      <c r="J129" s="52"/>
      <c r="K129" s="53"/>
      <c r="L129" s="54"/>
      <c r="M129" s="3"/>
      <c r="N129" s="241" t="s">
        <v>69</v>
      </c>
      <c r="O129" s="242"/>
      <c r="P129" s="24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</row>
    <row r="130" spans="2:72" s="1" customFormat="1" ht="23.25" customHeight="1" x14ac:dyDescent="0.2">
      <c r="B130" s="50">
        <v>51</v>
      </c>
      <c r="C130" s="51">
        <f t="shared" si="1"/>
        <v>45369</v>
      </c>
      <c r="D130" s="52"/>
      <c r="E130" s="52"/>
      <c r="F130" s="53"/>
      <c r="G130" s="53"/>
      <c r="H130" s="52"/>
      <c r="I130" s="52"/>
      <c r="J130" s="52"/>
      <c r="K130" s="53"/>
      <c r="L130" s="54"/>
      <c r="M130" s="3"/>
      <c r="N130" s="251" t="s">
        <v>70</v>
      </c>
      <c r="O130" s="252"/>
      <c r="P130" s="55">
        <f>SUM(D120:D132)</f>
        <v>0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</row>
    <row r="131" spans="2:72" s="1" customFormat="1" ht="23.25" customHeight="1" x14ac:dyDescent="0.2">
      <c r="B131" s="50">
        <v>52</v>
      </c>
      <c r="C131" s="51">
        <f t="shared" si="1"/>
        <v>45376</v>
      </c>
      <c r="D131" s="52"/>
      <c r="E131" s="52"/>
      <c r="F131" s="53"/>
      <c r="G131" s="53"/>
      <c r="H131" s="52"/>
      <c r="I131" s="52"/>
      <c r="J131" s="52"/>
      <c r="K131" s="53"/>
      <c r="L131" s="54"/>
      <c r="M131" s="3"/>
      <c r="N131" s="251" t="s">
        <v>64</v>
      </c>
      <c r="O131" s="252"/>
      <c r="P131" s="55">
        <f>SUM(G120:G132)</f>
        <v>0</v>
      </c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</row>
    <row r="132" spans="2:72" s="1" customFormat="1" ht="23.25" customHeight="1" x14ac:dyDescent="0.2">
      <c r="B132" s="50">
        <v>53</v>
      </c>
      <c r="C132" s="51"/>
      <c r="D132" s="52"/>
      <c r="E132" s="52"/>
      <c r="F132" s="53"/>
      <c r="G132" s="53"/>
      <c r="H132" s="52"/>
      <c r="I132" s="52"/>
      <c r="J132" s="52"/>
      <c r="K132" s="53"/>
      <c r="L132" s="54"/>
      <c r="M132" s="3"/>
      <c r="N132" s="251" t="s">
        <v>65</v>
      </c>
      <c r="O132" s="252"/>
      <c r="P132" s="55">
        <f>SUM(J120:J132)</f>
        <v>0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</row>
    <row r="133" spans="2:72" s="1" customFormat="1" ht="17" thickBot="1" x14ac:dyDescent="0.25">
      <c r="B133" s="65"/>
      <c r="C133" s="66" t="s">
        <v>71</v>
      </c>
      <c r="D133" s="67" t="s">
        <v>72</v>
      </c>
      <c r="E133" s="67" t="s">
        <v>72</v>
      </c>
      <c r="F133" s="67" t="s">
        <v>72</v>
      </c>
      <c r="G133" s="67" t="s">
        <v>72</v>
      </c>
      <c r="H133" s="67" t="s">
        <v>72</v>
      </c>
      <c r="I133" s="67" t="s">
        <v>72</v>
      </c>
      <c r="J133" s="67" t="s">
        <v>72</v>
      </c>
      <c r="K133" s="67" t="s">
        <v>72</v>
      </c>
      <c r="L133" s="68" t="s">
        <v>72</v>
      </c>
      <c r="M133" s="3"/>
      <c r="N133" s="253" t="s">
        <v>66</v>
      </c>
      <c r="O133" s="254"/>
      <c r="P133" s="60">
        <f>SUM(L120:L132)</f>
        <v>0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</row>
    <row r="134" spans="2:72" s="1" customFormat="1" ht="17" thickBot="1" x14ac:dyDescent="0.25">
      <c r="B134" s="42"/>
      <c r="C134" s="69"/>
      <c r="D134" s="70">
        <f t="shared" ref="D134:L134" si="2">SUM(D80:D132)</f>
        <v>0</v>
      </c>
      <c r="E134" s="70">
        <f t="shared" si="2"/>
        <v>0</v>
      </c>
      <c r="F134" s="70">
        <f t="shared" si="2"/>
        <v>0</v>
      </c>
      <c r="G134" s="70">
        <f t="shared" si="2"/>
        <v>0</v>
      </c>
      <c r="H134" s="70">
        <f t="shared" si="2"/>
        <v>0</v>
      </c>
      <c r="I134" s="70">
        <f t="shared" si="2"/>
        <v>0</v>
      </c>
      <c r="J134" s="70">
        <f t="shared" si="2"/>
        <v>0</v>
      </c>
      <c r="K134" s="70">
        <f t="shared" si="2"/>
        <v>0</v>
      </c>
      <c r="L134" s="71">
        <f t="shared" si="2"/>
        <v>0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</row>
    <row r="135" spans="2:72" s="1" customFormat="1" x14ac:dyDescent="0.2">
      <c r="C135" s="2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</row>
    <row r="136" spans="2:72" s="1" customFormat="1" x14ac:dyDescent="0.2">
      <c r="C136" s="2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</row>
    <row r="137" spans="2:72" s="1" customFormat="1" x14ac:dyDescent="0.2">
      <c r="C137" s="2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</row>
    <row r="138" spans="2:72" s="1" customFormat="1" x14ac:dyDescent="0.2">
      <c r="C138" s="2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</row>
    <row r="139" spans="2:72" s="1" customFormat="1" x14ac:dyDescent="0.2">
      <c r="C139" s="2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</row>
    <row r="140" spans="2:72" s="1" customFormat="1" x14ac:dyDescent="0.2">
      <c r="C140" s="2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</row>
    <row r="141" spans="2:72" s="1" customFormat="1" x14ac:dyDescent="0.2">
      <c r="C141" s="2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</row>
    <row r="142" spans="2:72" s="1" customFormat="1" x14ac:dyDescent="0.2">
      <c r="C142" s="2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</row>
    <row r="143" spans="2:72" s="1" customFormat="1" x14ac:dyDescent="0.2">
      <c r="C143" s="2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</row>
    <row r="144" spans="2:72" s="1" customFormat="1" x14ac:dyDescent="0.2">
      <c r="C144" s="2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</row>
    <row r="145" spans="2:72" s="1" customFormat="1" x14ac:dyDescent="0.2">
      <c r="C145" s="2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</row>
    <row r="146" spans="2:72" s="1" customFormat="1" x14ac:dyDescent="0.2">
      <c r="C146" s="2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</row>
    <row r="147" spans="2:72" s="1" customFormat="1" x14ac:dyDescent="0.2">
      <c r="C147" s="2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</row>
    <row r="148" spans="2:72" x14ac:dyDescent="0.2"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3"/>
    </row>
    <row r="149" spans="2:72" s="3" customFormat="1" x14ac:dyDescent="0.2"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2:72" s="3" customFormat="1" x14ac:dyDescent="0.2"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2:72" s="3" customFormat="1" x14ac:dyDescent="0.2"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2:72" s="3" customFormat="1" x14ac:dyDescent="0.2"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2:72" s="3" customFormat="1" x14ac:dyDescent="0.2"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2:72" s="3" customFormat="1" x14ac:dyDescent="0.2"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2:72" s="3" customFormat="1" x14ac:dyDescent="0.2"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2:72" s="3" customFormat="1" x14ac:dyDescent="0.2"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2:72" s="3" customFormat="1" x14ac:dyDescent="0.2"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2:72" s="3" customFormat="1" x14ac:dyDescent="0.2"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74"/>
    </row>
    <row r="159" spans="2:72" s="3" customFormat="1" x14ac:dyDescent="0.2"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74"/>
    </row>
    <row r="160" spans="2:72" s="3" customFormat="1" x14ac:dyDescent="0.2"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74"/>
    </row>
    <row r="161" spans="2:16" s="3" customFormat="1" x14ac:dyDescent="0.2"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74"/>
    </row>
    <row r="162" spans="2:16" s="3" customFormat="1" x14ac:dyDescent="0.2"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74"/>
    </row>
    <row r="163" spans="2:16" s="3" customFormat="1" x14ac:dyDescent="0.2"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74"/>
    </row>
    <row r="164" spans="2:16" s="3" customFormat="1" x14ac:dyDescent="0.2">
      <c r="B164"/>
      <c r="C164" s="72"/>
      <c r="D164"/>
      <c r="E164"/>
      <c r="F164"/>
      <c r="G164"/>
      <c r="H164"/>
      <c r="I164"/>
      <c r="J164"/>
      <c r="K164"/>
      <c r="L164"/>
      <c r="M164"/>
      <c r="N164"/>
      <c r="O164"/>
      <c r="P164" s="74"/>
    </row>
    <row r="165" spans="2:16" s="3" customFormat="1" x14ac:dyDescent="0.2">
      <c r="C165" s="73"/>
      <c r="P165" s="74"/>
    </row>
    <row r="166" spans="2:16" s="3" customFormat="1" x14ac:dyDescent="0.2">
      <c r="C166" s="73"/>
      <c r="P166" s="74"/>
    </row>
    <row r="167" spans="2:16" s="3" customFormat="1" x14ac:dyDescent="0.2">
      <c r="C167" s="73"/>
      <c r="P167" s="74"/>
    </row>
    <row r="168" spans="2:16" s="3" customFormat="1" x14ac:dyDescent="0.2">
      <c r="C168" s="73"/>
      <c r="P168" s="74"/>
    </row>
    <row r="169" spans="2:16" s="3" customFormat="1" x14ac:dyDescent="0.2">
      <c r="C169" s="73"/>
      <c r="P169" s="74"/>
    </row>
    <row r="170" spans="2:16" s="3" customFormat="1" x14ac:dyDescent="0.2">
      <c r="C170" s="73"/>
      <c r="P170" s="74"/>
    </row>
    <row r="171" spans="2:16" s="3" customFormat="1" x14ac:dyDescent="0.2">
      <c r="C171" s="73"/>
      <c r="P171" s="74"/>
    </row>
    <row r="172" spans="2:16" s="3" customFormat="1" x14ac:dyDescent="0.2">
      <c r="C172" s="73"/>
      <c r="P172" s="74"/>
    </row>
    <row r="173" spans="2:16" s="3" customFormat="1" x14ac:dyDescent="0.2">
      <c r="C173" s="73"/>
      <c r="P173" s="74"/>
    </row>
    <row r="174" spans="2:16" s="3" customFormat="1" x14ac:dyDescent="0.2">
      <c r="C174" s="73"/>
      <c r="P174" s="74"/>
    </row>
    <row r="175" spans="2:16" s="3" customFormat="1" x14ac:dyDescent="0.2">
      <c r="C175" s="73"/>
      <c r="P175" s="74"/>
    </row>
    <row r="176" spans="2:16" s="3" customFormat="1" x14ac:dyDescent="0.2">
      <c r="C176" s="73"/>
      <c r="P176" s="74"/>
    </row>
    <row r="177" spans="3:16" s="3" customFormat="1" x14ac:dyDescent="0.2">
      <c r="C177" s="73"/>
      <c r="P177" s="74"/>
    </row>
    <row r="178" spans="3:16" s="3" customFormat="1" x14ac:dyDescent="0.2">
      <c r="C178" s="73"/>
      <c r="P178" s="74"/>
    </row>
    <row r="179" spans="3:16" s="3" customFormat="1" x14ac:dyDescent="0.2">
      <c r="C179" s="73"/>
      <c r="P179" s="74"/>
    </row>
    <row r="180" spans="3:16" s="3" customFormat="1" x14ac:dyDescent="0.2">
      <c r="C180" s="73"/>
      <c r="P180" s="74"/>
    </row>
    <row r="181" spans="3:16" s="3" customFormat="1" x14ac:dyDescent="0.2">
      <c r="C181" s="73"/>
      <c r="P181" s="74"/>
    </row>
    <row r="182" spans="3:16" s="3" customFormat="1" x14ac:dyDescent="0.2">
      <c r="C182" s="73"/>
      <c r="P182" s="74"/>
    </row>
    <row r="183" spans="3:16" s="3" customFormat="1" x14ac:dyDescent="0.2">
      <c r="C183" s="73"/>
      <c r="P183" s="74"/>
    </row>
    <row r="184" spans="3:16" s="3" customFormat="1" x14ac:dyDescent="0.2">
      <c r="C184" s="73"/>
      <c r="P184" s="74"/>
    </row>
    <row r="185" spans="3:16" s="3" customFormat="1" x14ac:dyDescent="0.2">
      <c r="C185" s="73"/>
      <c r="P185" s="74"/>
    </row>
    <row r="186" spans="3:16" s="3" customFormat="1" x14ac:dyDescent="0.2">
      <c r="C186" s="73"/>
      <c r="P186" s="74"/>
    </row>
    <row r="187" spans="3:16" s="3" customFormat="1" x14ac:dyDescent="0.2">
      <c r="C187" s="73"/>
      <c r="P187" s="74"/>
    </row>
    <row r="188" spans="3:16" s="3" customFormat="1" x14ac:dyDescent="0.2">
      <c r="C188" s="73"/>
      <c r="P188" s="74"/>
    </row>
    <row r="189" spans="3:16" s="3" customFormat="1" x14ac:dyDescent="0.2">
      <c r="C189" s="73"/>
      <c r="P189" s="74"/>
    </row>
    <row r="190" spans="3:16" s="3" customFormat="1" x14ac:dyDescent="0.2">
      <c r="C190" s="73"/>
      <c r="P190" s="74"/>
    </row>
    <row r="191" spans="3:16" s="3" customFormat="1" x14ac:dyDescent="0.2">
      <c r="C191" s="73"/>
      <c r="P191" s="74"/>
    </row>
    <row r="192" spans="3:16" s="3" customFormat="1" x14ac:dyDescent="0.2">
      <c r="C192" s="73"/>
      <c r="P192" s="74"/>
    </row>
    <row r="193" spans="3:16" s="3" customFormat="1" x14ac:dyDescent="0.2">
      <c r="C193" s="73"/>
      <c r="P193" s="74"/>
    </row>
    <row r="194" spans="3:16" s="3" customFormat="1" x14ac:dyDescent="0.2">
      <c r="C194" s="73"/>
      <c r="P194" s="74"/>
    </row>
    <row r="195" spans="3:16" s="3" customFormat="1" x14ac:dyDescent="0.2">
      <c r="C195" s="73"/>
      <c r="P195" s="74"/>
    </row>
    <row r="196" spans="3:16" s="3" customFormat="1" x14ac:dyDescent="0.2">
      <c r="C196" s="73"/>
      <c r="P196" s="74"/>
    </row>
    <row r="197" spans="3:16" s="3" customFormat="1" x14ac:dyDescent="0.2">
      <c r="C197" s="73"/>
      <c r="P197" s="74"/>
    </row>
    <row r="198" spans="3:16" s="3" customFormat="1" x14ac:dyDescent="0.2">
      <c r="C198" s="73"/>
      <c r="P198" s="74"/>
    </row>
    <row r="199" spans="3:16" s="3" customFormat="1" x14ac:dyDescent="0.2">
      <c r="C199" s="73"/>
      <c r="P199" s="74"/>
    </row>
    <row r="200" spans="3:16" s="3" customFormat="1" x14ac:dyDescent="0.2">
      <c r="C200" s="73"/>
      <c r="P200" s="74"/>
    </row>
    <row r="201" spans="3:16" s="3" customFormat="1" x14ac:dyDescent="0.2">
      <c r="C201" s="73"/>
      <c r="P201" s="74"/>
    </row>
    <row r="202" spans="3:16" s="3" customFormat="1" x14ac:dyDescent="0.2">
      <c r="C202" s="73"/>
      <c r="P202" s="74"/>
    </row>
    <row r="203" spans="3:16" s="3" customFormat="1" x14ac:dyDescent="0.2">
      <c r="C203" s="73"/>
      <c r="P203" s="74"/>
    </row>
    <row r="204" spans="3:16" s="3" customFormat="1" x14ac:dyDescent="0.2">
      <c r="C204" s="73"/>
      <c r="P204" s="74"/>
    </row>
    <row r="205" spans="3:16" s="3" customFormat="1" x14ac:dyDescent="0.2">
      <c r="C205" s="73"/>
      <c r="P205" s="74"/>
    </row>
    <row r="206" spans="3:16" s="3" customFormat="1" x14ac:dyDescent="0.2">
      <c r="C206" s="73"/>
      <c r="P206" s="74"/>
    </row>
    <row r="207" spans="3:16" s="3" customFormat="1" x14ac:dyDescent="0.2">
      <c r="C207" s="73"/>
      <c r="P207" s="74"/>
    </row>
    <row r="208" spans="3:16" s="3" customFormat="1" x14ac:dyDescent="0.2">
      <c r="C208" s="73"/>
      <c r="P208" s="74"/>
    </row>
  </sheetData>
  <mergeCells count="280">
    <mergeCell ref="N131:O131"/>
    <mergeCell ref="N132:O132"/>
    <mergeCell ref="N133:O133"/>
    <mergeCell ref="N116:O116"/>
    <mergeCell ref="N117:O117"/>
    <mergeCell ref="N118:O118"/>
    <mergeCell ref="N119:O119"/>
    <mergeCell ref="N129:P129"/>
    <mergeCell ref="N130:O130"/>
    <mergeCell ref="N102:P102"/>
    <mergeCell ref="N103:O103"/>
    <mergeCell ref="N104:O104"/>
    <mergeCell ref="N105:O105"/>
    <mergeCell ref="N106:O106"/>
    <mergeCell ref="N115:P115"/>
    <mergeCell ref="C77:E77"/>
    <mergeCell ref="N89:P89"/>
    <mergeCell ref="N90:O90"/>
    <mergeCell ref="N91:O91"/>
    <mergeCell ref="N92:O92"/>
    <mergeCell ref="N93:O93"/>
    <mergeCell ref="C72:E72"/>
    <mergeCell ref="H72:J72"/>
    <mergeCell ref="K72:M72"/>
    <mergeCell ref="R72:T72"/>
    <mergeCell ref="J73:L73"/>
    <mergeCell ref="Q73:S73"/>
    <mergeCell ref="C70:E70"/>
    <mergeCell ref="H70:J70"/>
    <mergeCell ref="K70:M70"/>
    <mergeCell ref="R70:T70"/>
    <mergeCell ref="C71:E71"/>
    <mergeCell ref="H71:J71"/>
    <mergeCell ref="K71:M71"/>
    <mergeCell ref="R71:T71"/>
    <mergeCell ref="C68:E68"/>
    <mergeCell ref="H68:J68"/>
    <mergeCell ref="K68:M68"/>
    <mergeCell ref="R68:T68"/>
    <mergeCell ref="C69:E69"/>
    <mergeCell ref="H69:J69"/>
    <mergeCell ref="K69:M69"/>
    <mergeCell ref="R69:T69"/>
    <mergeCell ref="H66:J66"/>
    <mergeCell ref="K66:M66"/>
    <mergeCell ref="R66:T66"/>
    <mergeCell ref="C67:E67"/>
    <mergeCell ref="H67:J67"/>
    <mergeCell ref="K67:M67"/>
    <mergeCell ref="R67:T67"/>
    <mergeCell ref="H64:J64"/>
    <mergeCell ref="K64:M64"/>
    <mergeCell ref="R64:T64"/>
    <mergeCell ref="H65:J65"/>
    <mergeCell ref="K65:M65"/>
    <mergeCell ref="R65:T65"/>
    <mergeCell ref="C62:E62"/>
    <mergeCell ref="H62:J62"/>
    <mergeCell ref="K62:M62"/>
    <mergeCell ref="R62:T62"/>
    <mergeCell ref="C63:E63"/>
    <mergeCell ref="H63:J63"/>
    <mergeCell ref="K63:M63"/>
    <mergeCell ref="R63:T63"/>
    <mergeCell ref="C60:E60"/>
    <mergeCell ref="H60:J60"/>
    <mergeCell ref="K60:M60"/>
    <mergeCell ref="R60:T60"/>
    <mergeCell ref="C61:E61"/>
    <mergeCell ref="H61:J61"/>
    <mergeCell ref="K61:M61"/>
    <mergeCell ref="R61:T61"/>
    <mergeCell ref="C58:E58"/>
    <mergeCell ref="H58:J58"/>
    <mergeCell ref="K58:M58"/>
    <mergeCell ref="R58:T58"/>
    <mergeCell ref="C59:E59"/>
    <mergeCell ref="H59:J59"/>
    <mergeCell ref="K59:M59"/>
    <mergeCell ref="R59:T59"/>
    <mergeCell ref="C56:E56"/>
    <mergeCell ref="H56:J56"/>
    <mergeCell ref="K56:M56"/>
    <mergeCell ref="R56:T56"/>
    <mergeCell ref="C57:E57"/>
    <mergeCell ref="H57:J57"/>
    <mergeCell ref="K57:M57"/>
    <mergeCell ref="R57:T57"/>
    <mergeCell ref="C54:E54"/>
    <mergeCell ref="H54:J54"/>
    <mergeCell ref="K54:M54"/>
    <mergeCell ref="R54:T54"/>
    <mergeCell ref="C55:E55"/>
    <mergeCell ref="H55:J55"/>
    <mergeCell ref="K55:M55"/>
    <mergeCell ref="R55:T55"/>
    <mergeCell ref="C52:E52"/>
    <mergeCell ref="H52:J52"/>
    <mergeCell ref="K52:M52"/>
    <mergeCell ref="R52:T52"/>
    <mergeCell ref="C53:E53"/>
    <mergeCell ref="H53:J53"/>
    <mergeCell ref="K53:M53"/>
    <mergeCell ref="R53:T53"/>
    <mergeCell ref="C50:E50"/>
    <mergeCell ref="H50:J50"/>
    <mergeCell ref="K50:M50"/>
    <mergeCell ref="R50:T50"/>
    <mergeCell ref="C51:E51"/>
    <mergeCell ref="H51:J51"/>
    <mergeCell ref="K51:M51"/>
    <mergeCell ref="R51:T51"/>
    <mergeCell ref="C48:E48"/>
    <mergeCell ref="H48:J48"/>
    <mergeCell ref="K48:M48"/>
    <mergeCell ref="R48:T48"/>
    <mergeCell ref="C49:E49"/>
    <mergeCell ref="H49:J49"/>
    <mergeCell ref="K49:M49"/>
    <mergeCell ref="R49:T49"/>
    <mergeCell ref="C46:E46"/>
    <mergeCell ref="H46:J46"/>
    <mergeCell ref="K46:M46"/>
    <mergeCell ref="R46:T46"/>
    <mergeCell ref="C47:E47"/>
    <mergeCell ref="H47:J47"/>
    <mergeCell ref="K47:M47"/>
    <mergeCell ref="R47:T47"/>
    <mergeCell ref="C44:E44"/>
    <mergeCell ref="K44:M44"/>
    <mergeCell ref="R44:T44"/>
    <mergeCell ref="C45:E45"/>
    <mergeCell ref="H45:J45"/>
    <mergeCell ref="K45:M45"/>
    <mergeCell ref="R45:T45"/>
    <mergeCell ref="C42:E42"/>
    <mergeCell ref="K42:M42"/>
    <mergeCell ref="R42:T42"/>
    <mergeCell ref="C43:E43"/>
    <mergeCell ref="K43:M43"/>
    <mergeCell ref="R43:T43"/>
    <mergeCell ref="C40:E40"/>
    <mergeCell ref="H40:J40"/>
    <mergeCell ref="K40:M40"/>
    <mergeCell ref="R40:T40"/>
    <mergeCell ref="C41:E41"/>
    <mergeCell ref="K41:M41"/>
    <mergeCell ref="R41:T41"/>
    <mergeCell ref="C38:E38"/>
    <mergeCell ref="H38:J38"/>
    <mergeCell ref="K38:M38"/>
    <mergeCell ref="R38:T38"/>
    <mergeCell ref="C39:E39"/>
    <mergeCell ref="H39:J39"/>
    <mergeCell ref="K39:M39"/>
    <mergeCell ref="R39:T39"/>
    <mergeCell ref="C36:E36"/>
    <mergeCell ref="H36:J36"/>
    <mergeCell ref="K36:M36"/>
    <mergeCell ref="R36:T36"/>
    <mergeCell ref="C37:E37"/>
    <mergeCell ref="H37:J37"/>
    <mergeCell ref="K37:M37"/>
    <mergeCell ref="R37:T37"/>
    <mergeCell ref="C34:E34"/>
    <mergeCell ref="H34:J34"/>
    <mergeCell ref="K34:M34"/>
    <mergeCell ref="R34:T34"/>
    <mergeCell ref="C35:E35"/>
    <mergeCell ref="H35:J35"/>
    <mergeCell ref="K35:M35"/>
    <mergeCell ref="R35:T35"/>
    <mergeCell ref="C32:E32"/>
    <mergeCell ref="H32:J32"/>
    <mergeCell ref="K32:M32"/>
    <mergeCell ref="R32:T32"/>
    <mergeCell ref="C33:E33"/>
    <mergeCell ref="H33:J33"/>
    <mergeCell ref="K33:M33"/>
    <mergeCell ref="R33:T33"/>
    <mergeCell ref="C30:E30"/>
    <mergeCell ref="H30:J30"/>
    <mergeCell ref="K30:M30"/>
    <mergeCell ref="R30:T30"/>
    <mergeCell ref="C31:E31"/>
    <mergeCell ref="H31:J31"/>
    <mergeCell ref="K31:M31"/>
    <mergeCell ref="R31:T31"/>
    <mergeCell ref="C28:E28"/>
    <mergeCell ref="H28:J28"/>
    <mergeCell ref="K28:M28"/>
    <mergeCell ref="R28:T28"/>
    <mergeCell ref="C29:E29"/>
    <mergeCell ref="H29:J29"/>
    <mergeCell ref="K29:M29"/>
    <mergeCell ref="R29:T29"/>
    <mergeCell ref="C26:E26"/>
    <mergeCell ref="H26:J26"/>
    <mergeCell ref="K26:M26"/>
    <mergeCell ref="R26:T26"/>
    <mergeCell ref="C27:E27"/>
    <mergeCell ref="H27:J27"/>
    <mergeCell ref="K27:M27"/>
    <mergeCell ref="R27:T27"/>
    <mergeCell ref="B23:C23"/>
    <mergeCell ref="D23:K23"/>
    <mergeCell ref="P23:Q23"/>
    <mergeCell ref="S23:T23"/>
    <mergeCell ref="B25:C25"/>
    <mergeCell ref="D25:T25"/>
    <mergeCell ref="B20:C20"/>
    <mergeCell ref="D20:K20"/>
    <mergeCell ref="B21:C21"/>
    <mergeCell ref="D21:K21"/>
    <mergeCell ref="B22:C22"/>
    <mergeCell ref="D22:K22"/>
    <mergeCell ref="B18:C18"/>
    <mergeCell ref="D18:K18"/>
    <mergeCell ref="P18:Q18"/>
    <mergeCell ref="S18:T18"/>
    <mergeCell ref="B19:C19"/>
    <mergeCell ref="D19:K19"/>
    <mergeCell ref="P19:Q19"/>
    <mergeCell ref="S19:T19"/>
    <mergeCell ref="B16:C16"/>
    <mergeCell ref="D16:K16"/>
    <mergeCell ref="P16:Q16"/>
    <mergeCell ref="S16:T16"/>
    <mergeCell ref="B17:C17"/>
    <mergeCell ref="D17:K17"/>
    <mergeCell ref="P17:Q17"/>
    <mergeCell ref="S17:T17"/>
    <mergeCell ref="B14:C14"/>
    <mergeCell ref="D14:K14"/>
    <mergeCell ref="P14:Q14"/>
    <mergeCell ref="S14:T14"/>
    <mergeCell ref="B15:C15"/>
    <mergeCell ref="D15:K15"/>
    <mergeCell ref="P15:Q15"/>
    <mergeCell ref="S15:T15"/>
    <mergeCell ref="B12:C12"/>
    <mergeCell ref="D12:K12"/>
    <mergeCell ref="P12:Q12"/>
    <mergeCell ref="S12:T12"/>
    <mergeCell ref="B13:C13"/>
    <mergeCell ref="D13:K13"/>
    <mergeCell ref="P13:Q13"/>
    <mergeCell ref="S13:T13"/>
    <mergeCell ref="P10:Q10"/>
    <mergeCell ref="S10:T10"/>
    <mergeCell ref="B11:C11"/>
    <mergeCell ref="D11:K11"/>
    <mergeCell ref="P11:Q11"/>
    <mergeCell ref="S11:T11"/>
    <mergeCell ref="B8:C8"/>
    <mergeCell ref="D8:M8"/>
    <mergeCell ref="P8:Q8"/>
    <mergeCell ref="S8:T8"/>
    <mergeCell ref="B9:C10"/>
    <mergeCell ref="D9:K10"/>
    <mergeCell ref="L9:L10"/>
    <mergeCell ref="M9:M10"/>
    <mergeCell ref="P9:Q9"/>
    <mergeCell ref="S9:T9"/>
    <mergeCell ref="P4:Q4"/>
    <mergeCell ref="B5:E6"/>
    <mergeCell ref="F5:G6"/>
    <mergeCell ref="H5:K6"/>
    <mergeCell ref="L5:M6"/>
    <mergeCell ref="P6:Q6"/>
    <mergeCell ref="B2:C2"/>
    <mergeCell ref="D2:E2"/>
    <mergeCell ref="F2:G2"/>
    <mergeCell ref="H2:M2"/>
    <mergeCell ref="P2:Q2"/>
    <mergeCell ref="B3:E4"/>
    <mergeCell ref="F3:G4"/>
    <mergeCell ref="H3:K4"/>
    <mergeCell ref="L3:M4"/>
    <mergeCell ref="P3:Q3"/>
  </mergeCells>
  <conditionalFormatting sqref="L5:M6">
    <cfRule type="cellIs" dxfId="3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7F5F3-5B44-BB40-9EBA-D6FB16DD0A20}">
  <dimension ref="A1:BU208"/>
  <sheetViews>
    <sheetView zoomScaleNormal="100" workbookViewId="0">
      <selection activeCell="D19" sqref="D19:K19"/>
    </sheetView>
  </sheetViews>
  <sheetFormatPr baseColWidth="10" defaultColWidth="8.6640625" defaultRowHeight="15" x14ac:dyDescent="0.2"/>
  <cols>
    <col min="1" max="1" width="4.5" style="1" customWidth="1"/>
    <col min="2" max="2" width="15.6640625" bestFit="1" customWidth="1"/>
    <col min="3" max="3" width="33" style="72" bestFit="1" customWidth="1"/>
    <col min="4" max="4" width="12.1640625" customWidth="1"/>
    <col min="5" max="5" width="28" customWidth="1"/>
    <col min="6" max="6" width="12.5" bestFit="1" customWidth="1"/>
    <col min="7" max="7" width="10.6640625" bestFit="1" customWidth="1"/>
    <col min="8" max="8" width="18.5" customWidth="1"/>
    <col min="9" max="9" width="59.5" customWidth="1"/>
    <col min="10" max="10" width="13.6640625" customWidth="1"/>
    <col min="11" max="11" width="14" customWidth="1"/>
    <col min="12" max="12" width="14.6640625" customWidth="1"/>
    <col min="13" max="13" width="13.6640625" customWidth="1"/>
    <col min="14" max="14" width="11" customWidth="1"/>
    <col min="15" max="15" width="13.5" bestFit="1" customWidth="1"/>
    <col min="16" max="16" width="11" style="74" customWidth="1"/>
    <col min="17" max="17" width="20.5" style="3" customWidth="1"/>
    <col min="18" max="18" width="5.5" style="3" customWidth="1"/>
    <col min="19" max="19" width="19.5" style="3" customWidth="1"/>
    <col min="20" max="22" width="27.5" style="3" customWidth="1"/>
    <col min="23" max="23" width="40.5" style="3" bestFit="1" customWidth="1"/>
    <col min="24" max="24" width="29" style="3" customWidth="1"/>
    <col min="25" max="72" width="8.6640625" style="3"/>
  </cols>
  <sheetData>
    <row r="1" spans="2:72" s="1" customFormat="1" ht="15" customHeight="1" thickBot="1" x14ac:dyDescent="0.25">
      <c r="C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2:72" ht="46.5" customHeight="1" x14ac:dyDescent="0.2">
      <c r="B2" s="155" t="s">
        <v>0</v>
      </c>
      <c r="C2" s="155"/>
      <c r="D2" s="156" t="s">
        <v>1</v>
      </c>
      <c r="E2" s="156"/>
      <c r="F2" s="157"/>
      <c r="G2" s="157"/>
      <c r="H2" s="156" t="s">
        <v>2</v>
      </c>
      <c r="I2" s="156"/>
      <c r="J2" s="156"/>
      <c r="K2" s="156"/>
      <c r="L2" s="156"/>
      <c r="M2" s="156"/>
      <c r="N2" s="3"/>
      <c r="O2" s="4" t="s">
        <v>3</v>
      </c>
      <c r="P2" s="158" t="s">
        <v>4</v>
      </c>
      <c r="Q2" s="158"/>
    </row>
    <row r="3" spans="2:72" ht="24.75" customHeight="1" x14ac:dyDescent="0.2">
      <c r="B3" s="149" t="s">
        <v>73</v>
      </c>
      <c r="C3" s="149"/>
      <c r="D3" s="149"/>
      <c r="E3" s="149"/>
      <c r="F3" s="159">
        <v>2300000</v>
      </c>
      <c r="G3" s="159"/>
      <c r="H3" s="152" t="s">
        <v>6</v>
      </c>
      <c r="I3" s="152"/>
      <c r="J3" s="152"/>
      <c r="K3" s="152"/>
      <c r="L3" s="159">
        <v>4000000</v>
      </c>
      <c r="M3" s="159"/>
      <c r="N3" s="5"/>
      <c r="O3" s="6" t="s">
        <v>7</v>
      </c>
      <c r="P3" s="148"/>
      <c r="Q3" s="148"/>
    </row>
    <row r="4" spans="2:72" ht="21" customHeight="1" x14ac:dyDescent="0.2">
      <c r="B4" s="149"/>
      <c r="C4" s="149"/>
      <c r="D4" s="149"/>
      <c r="E4" s="149"/>
      <c r="F4" s="159"/>
      <c r="G4" s="159"/>
      <c r="H4" s="152"/>
      <c r="I4" s="152"/>
      <c r="J4" s="152"/>
      <c r="K4" s="152"/>
      <c r="L4" s="159"/>
      <c r="M4" s="159"/>
      <c r="N4" s="3"/>
      <c r="O4" s="6" t="s">
        <v>8</v>
      </c>
      <c r="P4" s="148"/>
      <c r="Q4" s="148"/>
    </row>
    <row r="5" spans="2:72" ht="21" customHeight="1" x14ac:dyDescent="0.2">
      <c r="B5" s="149" t="s">
        <v>74</v>
      </c>
      <c r="C5" s="149"/>
      <c r="D5" s="149"/>
      <c r="E5" s="149"/>
      <c r="F5" s="150">
        <f>SUM(T27:T73)</f>
        <v>0</v>
      </c>
      <c r="G5" s="150"/>
      <c r="H5" s="151" t="s">
        <v>10</v>
      </c>
      <c r="I5" s="152"/>
      <c r="J5" s="152"/>
      <c r="K5" s="152"/>
      <c r="L5" s="153">
        <f>SUM(L3-F3)</f>
        <v>1700000</v>
      </c>
      <c r="M5" s="153"/>
      <c r="N5" s="3"/>
      <c r="O5" s="7" t="s">
        <v>11</v>
      </c>
      <c r="P5" s="8"/>
      <c r="Q5" s="9"/>
    </row>
    <row r="6" spans="2:72" ht="21" customHeight="1" thickBot="1" x14ac:dyDescent="0.25">
      <c r="B6" s="149"/>
      <c r="C6" s="149"/>
      <c r="D6" s="149"/>
      <c r="E6" s="149"/>
      <c r="F6" s="150"/>
      <c r="G6" s="150"/>
      <c r="H6" s="152"/>
      <c r="I6" s="152"/>
      <c r="J6" s="152"/>
      <c r="K6" s="152"/>
      <c r="L6" s="153"/>
      <c r="M6" s="153"/>
      <c r="N6" s="3"/>
      <c r="O6" s="10" t="s">
        <v>12</v>
      </c>
      <c r="P6" s="154"/>
      <c r="Q6" s="154"/>
    </row>
    <row r="7" spans="2:72" s="1" customFormat="1" ht="9" customHeight="1" thickBot="1" x14ac:dyDescent="0.25">
      <c r="C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2:72" s="1" customFormat="1" ht="46.5" customHeight="1" x14ac:dyDescent="0.2">
      <c r="B8" s="155" t="s">
        <v>13</v>
      </c>
      <c r="C8" s="155"/>
      <c r="D8" s="156" t="s">
        <v>14</v>
      </c>
      <c r="E8" s="156"/>
      <c r="F8" s="156"/>
      <c r="G8" s="156"/>
      <c r="H8" s="156"/>
      <c r="I8" s="156"/>
      <c r="J8" s="156"/>
      <c r="K8" s="156"/>
      <c r="L8" s="156"/>
      <c r="M8" s="156"/>
      <c r="N8" s="3"/>
      <c r="O8" s="4" t="s">
        <v>15</v>
      </c>
      <c r="P8" s="158" t="s">
        <v>16</v>
      </c>
      <c r="Q8" s="158"/>
      <c r="R8" s="3"/>
      <c r="S8" s="164" t="s">
        <v>17</v>
      </c>
      <c r="T8" s="164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</row>
    <row r="9" spans="2:72" s="1" customFormat="1" ht="17.25" customHeight="1" x14ac:dyDescent="0.2">
      <c r="B9" s="165" t="s">
        <v>18</v>
      </c>
      <c r="C9" s="165"/>
      <c r="D9" s="166" t="s">
        <v>19</v>
      </c>
      <c r="E9" s="166"/>
      <c r="F9" s="166"/>
      <c r="G9" s="166"/>
      <c r="H9" s="166"/>
      <c r="I9" s="166"/>
      <c r="J9" s="166"/>
      <c r="K9" s="166"/>
      <c r="L9" s="167" t="s">
        <v>20</v>
      </c>
      <c r="M9" s="168" t="s">
        <v>21</v>
      </c>
      <c r="N9" s="3"/>
      <c r="O9" s="6" t="s">
        <v>22</v>
      </c>
      <c r="P9" s="148"/>
      <c r="Q9" s="148"/>
      <c r="R9" s="3"/>
      <c r="S9" s="160">
        <v>1</v>
      </c>
      <c r="T9" s="160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</row>
    <row r="10" spans="2:72" s="1" customFormat="1" ht="17.25" customHeight="1" x14ac:dyDescent="0.2">
      <c r="B10" s="165"/>
      <c r="C10" s="165"/>
      <c r="D10" s="166"/>
      <c r="E10" s="166"/>
      <c r="F10" s="166"/>
      <c r="G10" s="166"/>
      <c r="H10" s="166"/>
      <c r="I10" s="166"/>
      <c r="J10" s="166"/>
      <c r="K10" s="166"/>
      <c r="L10" s="167"/>
      <c r="M10" s="168"/>
      <c r="N10" s="3"/>
      <c r="O10" s="6" t="s">
        <v>23</v>
      </c>
      <c r="P10" s="148"/>
      <c r="Q10" s="148"/>
      <c r="R10" s="3"/>
      <c r="S10" s="160">
        <v>2</v>
      </c>
      <c r="T10" s="160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</row>
    <row r="11" spans="2:72" s="1" customFormat="1" ht="17.25" customHeight="1" x14ac:dyDescent="0.2">
      <c r="B11" s="161">
        <v>1</v>
      </c>
      <c r="C11" s="161"/>
      <c r="D11" s="162"/>
      <c r="E11" s="163"/>
      <c r="F11" s="163"/>
      <c r="G11" s="163"/>
      <c r="H11" s="163"/>
      <c r="I11" s="163"/>
      <c r="J11" s="163"/>
      <c r="K11" s="163"/>
      <c r="L11" s="119"/>
      <c r="M11" s="122"/>
      <c r="N11" s="3"/>
      <c r="O11" s="6" t="s">
        <v>24</v>
      </c>
      <c r="P11" s="148"/>
      <c r="Q11" s="148"/>
      <c r="R11" s="3"/>
      <c r="S11" s="160">
        <v>3</v>
      </c>
      <c r="T11" s="160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</row>
    <row r="12" spans="2:72" s="1" customFormat="1" ht="17.25" customHeight="1" x14ac:dyDescent="0.2">
      <c r="B12" s="174">
        <v>2</v>
      </c>
      <c r="C12" s="174"/>
      <c r="D12" s="162"/>
      <c r="E12" s="163"/>
      <c r="F12" s="163"/>
      <c r="G12" s="163"/>
      <c r="H12" s="163"/>
      <c r="I12" s="163"/>
      <c r="J12" s="163"/>
      <c r="K12" s="163"/>
      <c r="L12" s="120"/>
      <c r="M12" s="123"/>
      <c r="N12" s="3"/>
      <c r="O12" s="6" t="s">
        <v>25</v>
      </c>
      <c r="P12" s="148"/>
      <c r="Q12" s="148"/>
      <c r="R12" s="3"/>
      <c r="S12" s="160">
        <v>4</v>
      </c>
      <c r="T12" s="160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</row>
    <row r="13" spans="2:72" s="1" customFormat="1" ht="17.25" customHeight="1" x14ac:dyDescent="0.2">
      <c r="B13" s="175">
        <f t="shared" ref="B13:B19" si="0">B12+1</f>
        <v>3</v>
      </c>
      <c r="C13" s="175"/>
      <c r="D13" s="170"/>
      <c r="E13" s="170"/>
      <c r="F13" s="170"/>
      <c r="G13" s="170"/>
      <c r="H13" s="170"/>
      <c r="I13" s="170"/>
      <c r="J13" s="170"/>
      <c r="K13" s="170"/>
      <c r="L13" s="11"/>
      <c r="M13" s="12"/>
      <c r="N13" s="3"/>
      <c r="O13" s="6" t="s">
        <v>26</v>
      </c>
      <c r="P13" s="148"/>
      <c r="Q13" s="148"/>
      <c r="R13" s="3"/>
      <c r="S13" s="160">
        <v>5</v>
      </c>
      <c r="T13" s="160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</row>
    <row r="14" spans="2:72" s="1" customFormat="1" ht="17.25" customHeight="1" x14ac:dyDescent="0.2">
      <c r="B14" s="169">
        <f t="shared" si="0"/>
        <v>4</v>
      </c>
      <c r="C14" s="169"/>
      <c r="D14" s="170"/>
      <c r="E14" s="170"/>
      <c r="F14" s="170"/>
      <c r="G14" s="170"/>
      <c r="H14" s="170"/>
      <c r="I14" s="170"/>
      <c r="J14" s="170"/>
      <c r="K14" s="170"/>
      <c r="L14" s="11"/>
      <c r="M14" s="12"/>
      <c r="N14" s="3"/>
      <c r="O14" s="6" t="s">
        <v>27</v>
      </c>
      <c r="P14" s="171"/>
      <c r="Q14" s="172"/>
      <c r="R14" s="3"/>
      <c r="S14" s="160">
        <v>6</v>
      </c>
      <c r="T14" s="160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</row>
    <row r="15" spans="2:72" s="1" customFormat="1" ht="17.25" customHeight="1" x14ac:dyDescent="0.2">
      <c r="B15" s="173">
        <f t="shared" si="0"/>
        <v>5</v>
      </c>
      <c r="C15" s="173"/>
      <c r="D15" s="170"/>
      <c r="E15" s="170"/>
      <c r="F15" s="170"/>
      <c r="G15" s="170"/>
      <c r="H15" s="170"/>
      <c r="I15" s="170"/>
      <c r="J15" s="170"/>
      <c r="K15" s="170"/>
      <c r="L15" s="11"/>
      <c r="M15" s="12"/>
      <c r="N15" s="3"/>
      <c r="O15" s="6" t="s">
        <v>28</v>
      </c>
      <c r="P15" s="148"/>
      <c r="Q15" s="148"/>
      <c r="R15" s="3"/>
      <c r="S15" s="160">
        <v>7</v>
      </c>
      <c r="T15" s="160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spans="2:72" s="1" customFormat="1" ht="17.25" customHeight="1" x14ac:dyDescent="0.2">
      <c r="B16" s="180">
        <f t="shared" si="0"/>
        <v>6</v>
      </c>
      <c r="C16" s="180"/>
      <c r="D16" s="181"/>
      <c r="E16" s="170"/>
      <c r="F16" s="170"/>
      <c r="G16" s="170"/>
      <c r="H16" s="170"/>
      <c r="I16" s="170"/>
      <c r="J16" s="170"/>
      <c r="K16" s="170"/>
      <c r="L16" s="11"/>
      <c r="M16" s="12"/>
      <c r="N16" s="3"/>
      <c r="O16" s="6" t="s">
        <v>29</v>
      </c>
      <c r="P16" s="148"/>
      <c r="Q16" s="148"/>
      <c r="R16" s="3"/>
      <c r="S16" s="160">
        <v>8</v>
      </c>
      <c r="T16" s="160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</row>
    <row r="17" spans="1:73" s="1" customFormat="1" ht="17.25" customHeight="1" x14ac:dyDescent="0.2">
      <c r="B17" s="182">
        <f t="shared" si="0"/>
        <v>7</v>
      </c>
      <c r="C17" s="182"/>
      <c r="D17" s="170"/>
      <c r="E17" s="177"/>
      <c r="F17" s="177"/>
      <c r="G17" s="177"/>
      <c r="H17" s="177"/>
      <c r="I17" s="177"/>
      <c r="J17" s="177"/>
      <c r="K17" s="178"/>
      <c r="L17" s="11"/>
      <c r="M17" s="12"/>
      <c r="N17" s="3"/>
      <c r="O17" s="6" t="s">
        <v>30</v>
      </c>
      <c r="P17" s="148"/>
      <c r="Q17" s="148"/>
      <c r="R17" s="3"/>
      <c r="S17" s="160">
        <v>9</v>
      </c>
      <c r="T17" s="160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</row>
    <row r="18" spans="1:73" s="1" customFormat="1" ht="17.25" customHeight="1" x14ac:dyDescent="0.2">
      <c r="B18" s="176">
        <f t="shared" si="0"/>
        <v>8</v>
      </c>
      <c r="C18" s="176"/>
      <c r="D18" s="170"/>
      <c r="E18" s="177"/>
      <c r="F18" s="177"/>
      <c r="G18" s="177"/>
      <c r="H18" s="177"/>
      <c r="I18" s="177"/>
      <c r="J18" s="177"/>
      <c r="K18" s="178"/>
      <c r="L18" s="13"/>
      <c r="M18" s="12"/>
      <c r="N18" s="3"/>
      <c r="O18" s="6" t="s">
        <v>31</v>
      </c>
      <c r="P18" s="148"/>
      <c r="Q18" s="148"/>
      <c r="R18" s="3"/>
      <c r="S18" s="160">
        <v>10</v>
      </c>
      <c r="T18" s="160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</row>
    <row r="19" spans="1:73" s="1" customFormat="1" ht="17.25" customHeight="1" x14ac:dyDescent="0.2">
      <c r="B19" s="179">
        <f t="shared" si="0"/>
        <v>9</v>
      </c>
      <c r="C19" s="179"/>
      <c r="D19" s="170"/>
      <c r="E19" s="170"/>
      <c r="F19" s="170"/>
      <c r="G19" s="170"/>
      <c r="H19" s="170"/>
      <c r="I19" s="170"/>
      <c r="J19" s="170"/>
      <c r="K19" s="170"/>
      <c r="L19" s="11"/>
      <c r="M19" s="12"/>
      <c r="N19" s="3"/>
      <c r="O19" s="6" t="s">
        <v>32</v>
      </c>
      <c r="P19" s="148"/>
      <c r="Q19" s="148"/>
      <c r="R19" s="3"/>
      <c r="S19" s="160">
        <v>11</v>
      </c>
      <c r="T19" s="160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</row>
    <row r="20" spans="1:73" s="1" customFormat="1" ht="17.25" customHeight="1" x14ac:dyDescent="0.2">
      <c r="B20" s="189">
        <v>10</v>
      </c>
      <c r="C20" s="189"/>
      <c r="D20" s="170"/>
      <c r="E20" s="170"/>
      <c r="F20" s="170"/>
      <c r="G20" s="170"/>
      <c r="H20" s="170"/>
      <c r="I20" s="170"/>
      <c r="J20" s="170"/>
      <c r="K20" s="170"/>
      <c r="L20" s="14"/>
      <c r="M20" s="15"/>
      <c r="N20" s="3"/>
      <c r="O20" s="7"/>
      <c r="P20" s="8"/>
      <c r="Q20" s="9"/>
      <c r="R20" s="3"/>
      <c r="S20" s="16"/>
      <c r="T20" s="17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</row>
    <row r="21" spans="1:73" s="1" customFormat="1" ht="17.25" customHeight="1" x14ac:dyDescent="0.2">
      <c r="B21" s="190">
        <v>11</v>
      </c>
      <c r="C21" s="190"/>
      <c r="D21" s="170"/>
      <c r="E21" s="170"/>
      <c r="F21" s="170"/>
      <c r="G21" s="170"/>
      <c r="H21" s="170"/>
      <c r="I21" s="170"/>
      <c r="J21" s="170"/>
      <c r="K21" s="170"/>
      <c r="L21" s="14"/>
      <c r="M21" s="15"/>
      <c r="N21" s="3"/>
      <c r="O21" s="7"/>
      <c r="P21" s="8"/>
      <c r="Q21" s="9"/>
      <c r="R21" s="3"/>
      <c r="S21" s="16"/>
      <c r="T21" s="17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</row>
    <row r="22" spans="1:73" s="1" customFormat="1" ht="17.25" customHeight="1" x14ac:dyDescent="0.2">
      <c r="B22" s="191">
        <v>12</v>
      </c>
      <c r="C22" s="191"/>
      <c r="D22" s="170"/>
      <c r="E22" s="170"/>
      <c r="F22" s="170"/>
      <c r="G22" s="170"/>
      <c r="H22" s="170"/>
      <c r="I22" s="170"/>
      <c r="J22" s="170"/>
      <c r="K22" s="170"/>
      <c r="L22" s="14"/>
      <c r="M22" s="15"/>
      <c r="N22" s="3"/>
      <c r="O22" s="7"/>
      <c r="P22" s="8"/>
      <c r="Q22" s="9"/>
      <c r="R22" s="3"/>
      <c r="S22" s="16"/>
      <c r="T22" s="17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</row>
    <row r="23" spans="1:73" s="1" customFormat="1" ht="17.25" customHeight="1" thickBot="1" x14ac:dyDescent="0.25">
      <c r="B23" s="183">
        <v>13</v>
      </c>
      <c r="C23" s="183"/>
      <c r="D23" s="184"/>
      <c r="E23" s="184"/>
      <c r="F23" s="184"/>
      <c r="G23" s="184"/>
      <c r="H23" s="184"/>
      <c r="I23" s="184"/>
      <c r="J23" s="184"/>
      <c r="K23" s="184"/>
      <c r="L23" s="18"/>
      <c r="M23" s="19"/>
      <c r="N23" s="3"/>
      <c r="O23" s="10" t="s">
        <v>33</v>
      </c>
      <c r="P23" s="154"/>
      <c r="Q23" s="154"/>
      <c r="R23" s="3"/>
      <c r="S23" s="185">
        <v>12</v>
      </c>
      <c r="T23" s="185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</row>
    <row r="24" spans="1:73" s="1" customFormat="1" ht="8.25" customHeight="1" thickBot="1" x14ac:dyDescent="0.25">
      <c r="C24" s="2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</row>
    <row r="25" spans="1:73" s="1" customFormat="1" ht="46.5" customHeight="1" x14ac:dyDescent="0.2">
      <c r="B25" s="186" t="s">
        <v>34</v>
      </c>
      <c r="C25" s="187"/>
      <c r="D25" s="188" t="s">
        <v>35</v>
      </c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</row>
    <row r="26" spans="1:73" s="1" customFormat="1" ht="65.25" customHeight="1" thickBot="1" x14ac:dyDescent="0.25">
      <c r="A26"/>
      <c r="B26" s="20" t="s">
        <v>36</v>
      </c>
      <c r="C26" s="198" t="s">
        <v>37</v>
      </c>
      <c r="D26" s="199"/>
      <c r="E26" s="200"/>
      <c r="F26" s="121" t="s">
        <v>38</v>
      </c>
      <c r="G26" s="21" t="s">
        <v>39</v>
      </c>
      <c r="H26" s="198" t="s">
        <v>40</v>
      </c>
      <c r="I26" s="199"/>
      <c r="J26" s="200"/>
      <c r="K26" s="198" t="s">
        <v>41</v>
      </c>
      <c r="L26" s="199"/>
      <c r="M26" s="200"/>
      <c r="N26" s="21" t="s">
        <v>42</v>
      </c>
      <c r="O26" s="21" t="s">
        <v>43</v>
      </c>
      <c r="P26" s="21" t="s">
        <v>44</v>
      </c>
      <c r="Q26" s="21" t="s">
        <v>45</v>
      </c>
      <c r="R26" s="198" t="s">
        <v>46</v>
      </c>
      <c r="S26" s="199"/>
      <c r="T26" s="200"/>
      <c r="U26" s="22" t="s">
        <v>47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</row>
    <row r="27" spans="1:73" s="1" customFormat="1" ht="16.5" customHeight="1" x14ac:dyDescent="0.2">
      <c r="A27"/>
      <c r="B27" s="127">
        <v>1</v>
      </c>
      <c r="C27" s="201"/>
      <c r="D27" s="202"/>
      <c r="E27" s="203"/>
      <c r="F27" s="125"/>
      <c r="G27" s="125"/>
      <c r="H27" s="193"/>
      <c r="I27" s="193"/>
      <c r="J27" s="195"/>
      <c r="K27" s="196"/>
      <c r="L27" s="197"/>
      <c r="M27" s="197"/>
      <c r="N27" s="24"/>
      <c r="O27" s="24"/>
      <c r="P27" s="24"/>
      <c r="Q27" s="24"/>
      <c r="R27" s="197"/>
      <c r="S27" s="197"/>
      <c r="T27" s="197"/>
      <c r="U27" s="25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</row>
    <row r="28" spans="1:73" s="1" customFormat="1" ht="16.5" customHeight="1" x14ac:dyDescent="0.2">
      <c r="A28"/>
      <c r="B28" s="127">
        <v>1</v>
      </c>
      <c r="C28" s="192"/>
      <c r="D28" s="193"/>
      <c r="E28" s="194"/>
      <c r="F28" s="126"/>
      <c r="G28" s="126"/>
      <c r="H28" s="193"/>
      <c r="I28" s="193"/>
      <c r="J28" s="195"/>
      <c r="K28" s="196"/>
      <c r="L28" s="197"/>
      <c r="M28" s="197"/>
      <c r="N28" s="24"/>
      <c r="O28" s="24"/>
      <c r="P28" s="24"/>
      <c r="Q28" s="24"/>
      <c r="R28" s="197"/>
      <c r="S28" s="197"/>
      <c r="T28" s="197"/>
      <c r="U28" s="25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</row>
    <row r="29" spans="1:73" s="1" customFormat="1" ht="16.5" customHeight="1" x14ac:dyDescent="0.2">
      <c r="A29"/>
      <c r="B29" s="127">
        <v>1</v>
      </c>
      <c r="C29" s="192"/>
      <c r="D29" s="193"/>
      <c r="E29" s="194"/>
      <c r="F29" s="126"/>
      <c r="G29" s="126"/>
      <c r="H29" s="193"/>
      <c r="I29" s="193"/>
      <c r="J29" s="195"/>
      <c r="K29" s="196"/>
      <c r="L29" s="197"/>
      <c r="M29" s="197"/>
      <c r="N29" s="24"/>
      <c r="O29" s="24"/>
      <c r="P29" s="24"/>
      <c r="Q29" s="24"/>
      <c r="R29" s="197"/>
      <c r="S29" s="197"/>
      <c r="T29" s="197"/>
      <c r="U29" s="25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</row>
    <row r="30" spans="1:73" s="1" customFormat="1" ht="16.5" customHeight="1" thickBot="1" x14ac:dyDescent="0.25">
      <c r="A30"/>
      <c r="B30" s="127">
        <v>1</v>
      </c>
      <c r="C30" s="205"/>
      <c r="D30" s="206"/>
      <c r="E30" s="207"/>
      <c r="F30" s="27"/>
      <c r="G30" s="126"/>
      <c r="H30" s="197"/>
      <c r="I30" s="197"/>
      <c r="J30" s="197"/>
      <c r="K30" s="196"/>
      <c r="L30" s="197"/>
      <c r="M30" s="197"/>
      <c r="N30" s="24"/>
      <c r="O30" s="24"/>
      <c r="P30" s="24"/>
      <c r="Q30" s="24"/>
      <c r="R30" s="197"/>
      <c r="S30" s="197"/>
      <c r="T30" s="197"/>
      <c r="U30" s="25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</row>
    <row r="31" spans="1:73" s="1" customFormat="1" ht="16.5" customHeight="1" x14ac:dyDescent="0.2">
      <c r="A31"/>
      <c r="B31" s="128">
        <v>2</v>
      </c>
      <c r="C31" s="201"/>
      <c r="D31" s="202"/>
      <c r="E31" s="203"/>
      <c r="F31" s="125"/>
      <c r="G31" s="125"/>
      <c r="H31" s="193"/>
      <c r="I31" s="193"/>
      <c r="J31" s="204"/>
      <c r="K31" s="197"/>
      <c r="L31" s="197"/>
      <c r="M31" s="197"/>
      <c r="N31" s="24"/>
      <c r="O31" s="24"/>
      <c r="P31" s="24"/>
      <c r="Q31" s="27"/>
      <c r="R31" s="197"/>
      <c r="S31" s="197"/>
      <c r="T31" s="197"/>
      <c r="U31" s="25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</row>
    <row r="32" spans="1:73" s="1" customFormat="1" ht="16.5" customHeight="1" x14ac:dyDescent="0.2">
      <c r="A32"/>
      <c r="B32" s="128">
        <v>2</v>
      </c>
      <c r="C32" s="192"/>
      <c r="D32" s="193"/>
      <c r="E32" s="194"/>
      <c r="F32" s="126"/>
      <c r="G32" s="126"/>
      <c r="H32" s="193"/>
      <c r="I32" s="193"/>
      <c r="J32" s="204"/>
      <c r="K32" s="197"/>
      <c r="L32" s="197"/>
      <c r="M32" s="197"/>
      <c r="N32" s="24"/>
      <c r="O32" s="24"/>
      <c r="P32" s="24"/>
      <c r="Q32" s="27"/>
      <c r="R32" s="197"/>
      <c r="S32" s="197"/>
      <c r="T32" s="197"/>
      <c r="U32" s="25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</row>
    <row r="33" spans="1:73" s="1" customFormat="1" ht="16.5" customHeight="1" x14ac:dyDescent="0.2">
      <c r="A33"/>
      <c r="B33" s="128">
        <v>2</v>
      </c>
      <c r="C33" s="192"/>
      <c r="D33" s="193"/>
      <c r="E33" s="194"/>
      <c r="F33" s="126"/>
      <c r="G33" s="126"/>
      <c r="H33" s="193"/>
      <c r="I33" s="193"/>
      <c r="J33" s="204"/>
      <c r="K33" s="197"/>
      <c r="L33" s="197"/>
      <c r="M33" s="197"/>
      <c r="N33" s="24"/>
      <c r="O33" s="24"/>
      <c r="P33" s="24"/>
      <c r="Q33" s="27"/>
      <c r="R33" s="197"/>
      <c r="S33" s="197"/>
      <c r="T33" s="197"/>
      <c r="U33" s="25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</row>
    <row r="34" spans="1:73" s="1" customFormat="1" ht="16.5" customHeight="1" thickBot="1" x14ac:dyDescent="0.25">
      <c r="A34"/>
      <c r="B34" s="128">
        <v>2</v>
      </c>
      <c r="C34" s="208"/>
      <c r="D34" s="209"/>
      <c r="E34" s="210"/>
      <c r="F34" s="126"/>
      <c r="G34" s="126"/>
      <c r="H34" s="193"/>
      <c r="I34" s="193"/>
      <c r="J34" s="195"/>
      <c r="K34" s="197"/>
      <c r="L34" s="197"/>
      <c r="M34" s="197"/>
      <c r="N34" s="24"/>
      <c r="O34" s="24"/>
      <c r="P34" s="24"/>
      <c r="Q34" s="27"/>
      <c r="R34" s="197"/>
      <c r="S34" s="197"/>
      <c r="T34" s="197"/>
      <c r="U34" s="25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</row>
    <row r="35" spans="1:73" s="1" customFormat="1" ht="16.5" customHeight="1" x14ac:dyDescent="0.2">
      <c r="A35"/>
      <c r="B35" s="26">
        <v>2</v>
      </c>
      <c r="C35" s="211"/>
      <c r="D35" s="211"/>
      <c r="E35" s="211"/>
      <c r="F35" s="27"/>
      <c r="G35" s="24"/>
      <c r="H35" s="197"/>
      <c r="I35" s="197"/>
      <c r="J35" s="197"/>
      <c r="K35" s="197"/>
      <c r="L35" s="197"/>
      <c r="M35" s="197"/>
      <c r="N35" s="24"/>
      <c r="O35" s="24"/>
      <c r="P35" s="24"/>
      <c r="Q35" s="27"/>
      <c r="R35" s="197"/>
      <c r="S35" s="197"/>
      <c r="T35" s="197"/>
      <c r="U35" s="25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</row>
    <row r="36" spans="1:73" s="1" customFormat="1" ht="16.5" customHeight="1" thickBot="1" x14ac:dyDescent="0.25">
      <c r="A36"/>
      <c r="B36" s="26">
        <v>2</v>
      </c>
      <c r="C36" s="206"/>
      <c r="D36" s="206"/>
      <c r="E36" s="206"/>
      <c r="F36" s="27"/>
      <c r="G36" s="24"/>
      <c r="H36" s="197"/>
      <c r="I36" s="197"/>
      <c r="J36" s="197"/>
      <c r="K36" s="197"/>
      <c r="L36" s="197"/>
      <c r="M36" s="197"/>
      <c r="N36" s="24"/>
      <c r="O36" s="24"/>
      <c r="P36" s="24"/>
      <c r="Q36" s="27"/>
      <c r="R36" s="197"/>
      <c r="S36" s="197"/>
      <c r="T36" s="197"/>
      <c r="U36" s="25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</row>
    <row r="37" spans="1:73" s="29" customFormat="1" ht="16.5" customHeight="1" x14ac:dyDescent="0.2">
      <c r="A37"/>
      <c r="B37" s="129">
        <v>3</v>
      </c>
      <c r="C37" s="201"/>
      <c r="D37" s="202"/>
      <c r="E37" s="203"/>
      <c r="F37" s="125"/>
      <c r="G37" s="125"/>
      <c r="H37" s="193"/>
      <c r="I37" s="193"/>
      <c r="J37" s="195"/>
      <c r="K37" s="197"/>
      <c r="L37" s="197"/>
      <c r="M37" s="197"/>
      <c r="N37" s="24"/>
      <c r="O37" s="24"/>
      <c r="P37" s="24"/>
      <c r="Q37" s="27"/>
      <c r="R37" s="197"/>
      <c r="S37" s="197"/>
      <c r="T37" s="197"/>
      <c r="U37" s="25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</row>
    <row r="38" spans="1:73" s="1" customFormat="1" ht="16.5" customHeight="1" x14ac:dyDescent="0.2">
      <c r="A38"/>
      <c r="B38" s="129">
        <v>3</v>
      </c>
      <c r="C38" s="192"/>
      <c r="D38" s="193"/>
      <c r="E38" s="194"/>
      <c r="F38" s="126"/>
      <c r="G38" s="126"/>
      <c r="H38" s="193"/>
      <c r="I38" s="193"/>
      <c r="J38" s="195"/>
      <c r="K38" s="197"/>
      <c r="L38" s="197"/>
      <c r="M38" s="197"/>
      <c r="N38" s="24"/>
      <c r="O38" s="24"/>
      <c r="P38" s="24"/>
      <c r="Q38" s="27"/>
      <c r="R38" s="197"/>
      <c r="S38" s="197"/>
      <c r="T38" s="197"/>
      <c r="U38" s="25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</row>
    <row r="39" spans="1:73" s="1" customFormat="1" ht="16.5" customHeight="1" x14ac:dyDescent="0.2">
      <c r="A39"/>
      <c r="B39" s="129">
        <v>3</v>
      </c>
      <c r="C39" s="221"/>
      <c r="D39" s="222"/>
      <c r="E39" s="223"/>
      <c r="F39" s="126"/>
      <c r="G39" s="126"/>
      <c r="H39" s="193"/>
      <c r="I39" s="193"/>
      <c r="J39" s="195"/>
      <c r="K39" s="197"/>
      <c r="L39" s="197"/>
      <c r="M39" s="197"/>
      <c r="N39" s="24"/>
      <c r="O39" s="24"/>
      <c r="P39" s="24"/>
      <c r="Q39" s="27"/>
      <c r="R39" s="197"/>
      <c r="S39" s="197"/>
      <c r="T39" s="197"/>
      <c r="U39" s="25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</row>
    <row r="40" spans="1:73" s="1" customFormat="1" ht="16.5" customHeight="1" x14ac:dyDescent="0.2">
      <c r="A40"/>
      <c r="B40" s="129">
        <v>3</v>
      </c>
      <c r="C40" s="212"/>
      <c r="D40" s="213"/>
      <c r="E40" s="214"/>
      <c r="F40" s="126"/>
      <c r="G40" s="126"/>
      <c r="H40" s="193"/>
      <c r="I40" s="193"/>
      <c r="J40" s="195"/>
      <c r="K40" s="197"/>
      <c r="L40" s="197"/>
      <c r="M40" s="197"/>
      <c r="N40" s="24"/>
      <c r="O40" s="24"/>
      <c r="P40" s="24"/>
      <c r="Q40" s="27"/>
      <c r="R40" s="197"/>
      <c r="S40" s="197"/>
      <c r="T40" s="197"/>
      <c r="U40" s="25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</row>
    <row r="41" spans="1:73" s="1" customFormat="1" ht="16.5" customHeight="1" x14ac:dyDescent="0.2">
      <c r="A41"/>
      <c r="B41" s="129">
        <v>3</v>
      </c>
      <c r="C41" s="215"/>
      <c r="D41" s="216"/>
      <c r="E41" s="217"/>
      <c r="F41" s="126"/>
      <c r="G41" s="126"/>
      <c r="H41" s="147"/>
      <c r="I41" s="147"/>
      <c r="J41" s="125"/>
      <c r="K41" s="218"/>
      <c r="L41" s="219"/>
      <c r="M41" s="220"/>
      <c r="N41" s="24"/>
      <c r="O41" s="24"/>
      <c r="P41" s="24"/>
      <c r="Q41" s="27"/>
      <c r="R41" s="197"/>
      <c r="S41" s="197"/>
      <c r="T41" s="197"/>
      <c r="U41" s="25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</row>
    <row r="42" spans="1:73" s="1" customFormat="1" ht="16.5" customHeight="1" x14ac:dyDescent="0.2">
      <c r="A42"/>
      <c r="B42" s="129">
        <v>3</v>
      </c>
      <c r="C42" s="215"/>
      <c r="D42" s="216"/>
      <c r="E42" s="217"/>
      <c r="F42" s="126"/>
      <c r="G42" s="126"/>
      <c r="H42" s="147"/>
      <c r="I42" s="147"/>
      <c r="J42" s="125"/>
      <c r="K42" s="218"/>
      <c r="L42" s="219"/>
      <c r="M42" s="220"/>
      <c r="N42" s="24"/>
      <c r="O42" s="24"/>
      <c r="P42" s="24"/>
      <c r="Q42" s="27"/>
      <c r="R42" s="197"/>
      <c r="S42" s="197"/>
      <c r="T42" s="197"/>
      <c r="U42" s="25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</row>
    <row r="43" spans="1:73" s="1" customFormat="1" ht="16.5" customHeight="1" x14ac:dyDescent="0.2">
      <c r="A43"/>
      <c r="B43" s="129">
        <v>3</v>
      </c>
      <c r="C43" s="215"/>
      <c r="D43" s="216"/>
      <c r="E43" s="217"/>
      <c r="F43" s="126"/>
      <c r="G43" s="126"/>
      <c r="H43" s="147"/>
      <c r="I43" s="147"/>
      <c r="J43" s="125"/>
      <c r="K43" s="218"/>
      <c r="L43" s="219"/>
      <c r="M43" s="220"/>
      <c r="N43" s="24"/>
      <c r="O43" s="24"/>
      <c r="P43" s="24"/>
      <c r="Q43" s="27"/>
      <c r="R43" s="197"/>
      <c r="S43" s="197"/>
      <c r="T43" s="197"/>
      <c r="U43" s="25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</row>
    <row r="44" spans="1:73" s="1" customFormat="1" ht="16.5" customHeight="1" x14ac:dyDescent="0.2">
      <c r="A44"/>
      <c r="B44" s="129">
        <v>3</v>
      </c>
      <c r="C44" s="224"/>
      <c r="D44" s="225"/>
      <c r="E44" s="226"/>
      <c r="F44" s="126"/>
      <c r="G44" s="126"/>
      <c r="H44" s="147"/>
      <c r="I44" s="147"/>
      <c r="J44" s="125"/>
      <c r="K44" s="218"/>
      <c r="L44" s="219"/>
      <c r="M44" s="220"/>
      <c r="N44" s="24"/>
      <c r="O44" s="24"/>
      <c r="P44" s="24"/>
      <c r="Q44" s="27"/>
      <c r="R44" s="197"/>
      <c r="S44" s="197"/>
      <c r="T44" s="197"/>
      <c r="U44" s="25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</row>
    <row r="45" spans="1:73" s="1" customFormat="1" ht="16.5" customHeight="1" x14ac:dyDescent="0.2">
      <c r="A45"/>
      <c r="B45" s="130">
        <v>4</v>
      </c>
      <c r="C45" s="227"/>
      <c r="D45" s="228"/>
      <c r="E45" s="229"/>
      <c r="F45" s="125"/>
      <c r="G45" s="125"/>
      <c r="H45" s="193"/>
      <c r="I45" s="193"/>
      <c r="J45" s="195"/>
      <c r="K45" s="197"/>
      <c r="L45" s="197"/>
      <c r="M45" s="197"/>
      <c r="N45" s="24"/>
      <c r="O45" s="24"/>
      <c r="P45" s="24"/>
      <c r="Q45" s="27"/>
      <c r="R45" s="197"/>
      <c r="S45" s="197"/>
      <c r="T45" s="197"/>
      <c r="U45" s="25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</row>
    <row r="46" spans="1:73" s="1" customFormat="1" ht="16.5" customHeight="1" x14ac:dyDescent="0.2">
      <c r="A46"/>
      <c r="B46" s="130">
        <v>4</v>
      </c>
      <c r="C46" s="192"/>
      <c r="D46" s="193"/>
      <c r="E46" s="194"/>
      <c r="F46" s="126"/>
      <c r="G46" s="126"/>
      <c r="H46" s="193"/>
      <c r="I46" s="193"/>
      <c r="J46" s="195"/>
      <c r="K46" s="197"/>
      <c r="L46" s="197"/>
      <c r="M46" s="197"/>
      <c r="N46" s="24"/>
      <c r="O46" s="24"/>
      <c r="P46" s="24"/>
      <c r="Q46" s="27"/>
      <c r="R46" s="197"/>
      <c r="S46" s="197"/>
      <c r="T46" s="197"/>
      <c r="U46" s="25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</row>
    <row r="47" spans="1:73" s="1" customFormat="1" ht="16.5" customHeight="1" x14ac:dyDescent="0.2">
      <c r="A47"/>
      <c r="B47" s="130">
        <v>4</v>
      </c>
      <c r="C47" s="192"/>
      <c r="D47" s="193"/>
      <c r="E47" s="194"/>
      <c r="F47" s="126"/>
      <c r="G47" s="126"/>
      <c r="H47" s="193"/>
      <c r="I47" s="193"/>
      <c r="J47" s="195"/>
      <c r="K47" s="197"/>
      <c r="L47" s="197"/>
      <c r="M47" s="197"/>
      <c r="N47" s="24"/>
      <c r="O47" s="24"/>
      <c r="P47" s="24"/>
      <c r="Q47" s="27"/>
      <c r="R47" s="197"/>
      <c r="S47" s="197"/>
      <c r="T47" s="197"/>
      <c r="U47" s="25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</row>
    <row r="48" spans="1:73" s="1" customFormat="1" ht="16.5" customHeight="1" thickBot="1" x14ac:dyDescent="0.25">
      <c r="A48"/>
      <c r="B48" s="130">
        <v>4</v>
      </c>
      <c r="C48" s="221"/>
      <c r="D48" s="222"/>
      <c r="E48" s="223"/>
      <c r="F48" s="126"/>
      <c r="G48" s="126"/>
      <c r="H48" s="193"/>
      <c r="I48" s="193"/>
      <c r="J48" s="195"/>
      <c r="K48" s="197"/>
      <c r="L48" s="197"/>
      <c r="M48" s="197"/>
      <c r="N48" s="24"/>
      <c r="O48" s="24"/>
      <c r="P48" s="24"/>
      <c r="Q48" s="27"/>
      <c r="R48" s="197"/>
      <c r="S48" s="197"/>
      <c r="T48" s="197"/>
      <c r="U48" s="25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</row>
    <row r="49" spans="1:73" s="29" customFormat="1" ht="16.5" customHeight="1" x14ac:dyDescent="0.2">
      <c r="A49"/>
      <c r="B49" s="131">
        <v>5</v>
      </c>
      <c r="C49" s="201"/>
      <c r="D49" s="202"/>
      <c r="E49" s="203"/>
      <c r="F49" s="125"/>
      <c r="G49" s="125"/>
      <c r="H49" s="197"/>
      <c r="I49" s="197"/>
      <c r="J49" s="197"/>
      <c r="K49" s="197"/>
      <c r="L49" s="197"/>
      <c r="M49" s="197"/>
      <c r="N49" s="24"/>
      <c r="O49" s="24"/>
      <c r="P49" s="24"/>
      <c r="Q49" s="27"/>
      <c r="R49" s="197"/>
      <c r="S49" s="197"/>
      <c r="T49" s="197"/>
      <c r="U49" s="25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</row>
    <row r="50" spans="1:73" s="1" customFormat="1" ht="16.5" customHeight="1" x14ac:dyDescent="0.2">
      <c r="A50"/>
      <c r="B50" s="131">
        <v>5</v>
      </c>
      <c r="C50" s="192"/>
      <c r="D50" s="193"/>
      <c r="E50" s="194"/>
      <c r="F50" s="126"/>
      <c r="G50" s="126"/>
      <c r="H50" s="197"/>
      <c r="I50" s="197"/>
      <c r="J50" s="197"/>
      <c r="K50" s="197"/>
      <c r="L50" s="197"/>
      <c r="M50" s="197"/>
      <c r="N50" s="24"/>
      <c r="O50" s="24"/>
      <c r="P50" s="24"/>
      <c r="Q50" s="27"/>
      <c r="R50" s="197"/>
      <c r="S50" s="197"/>
      <c r="T50" s="197"/>
      <c r="U50" s="25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</row>
    <row r="51" spans="1:73" s="1" customFormat="1" ht="16.5" customHeight="1" thickBot="1" x14ac:dyDescent="0.25">
      <c r="A51"/>
      <c r="B51" s="131">
        <v>5</v>
      </c>
      <c r="C51" s="205"/>
      <c r="D51" s="206"/>
      <c r="E51" s="207"/>
      <c r="F51" s="124"/>
      <c r="G51" s="126"/>
      <c r="H51" s="197"/>
      <c r="I51" s="197"/>
      <c r="J51" s="197"/>
      <c r="K51" s="197"/>
      <c r="L51" s="197"/>
      <c r="M51" s="197"/>
      <c r="N51" s="24"/>
      <c r="O51" s="24"/>
      <c r="P51" s="24"/>
      <c r="Q51" s="27"/>
      <c r="R51" s="197"/>
      <c r="S51" s="197"/>
      <c r="T51" s="197"/>
      <c r="U51" s="25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</row>
    <row r="52" spans="1:73" s="1" customFormat="1" ht="16.5" customHeight="1" x14ac:dyDescent="0.2">
      <c r="A52"/>
      <c r="B52" s="132">
        <v>6</v>
      </c>
      <c r="C52" s="201"/>
      <c r="D52" s="202"/>
      <c r="E52" s="203"/>
      <c r="F52" s="125"/>
      <c r="G52" s="125"/>
      <c r="H52" s="197"/>
      <c r="I52" s="197"/>
      <c r="J52" s="197"/>
      <c r="K52" s="197"/>
      <c r="L52" s="197"/>
      <c r="M52" s="197"/>
      <c r="N52" s="24"/>
      <c r="O52" s="24"/>
      <c r="P52" s="24"/>
      <c r="Q52" s="27"/>
      <c r="R52" s="197"/>
      <c r="S52" s="197"/>
      <c r="T52" s="197"/>
      <c r="U52" s="25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</row>
    <row r="53" spans="1:73" s="1" customFormat="1" ht="16.5" customHeight="1" x14ac:dyDescent="0.2">
      <c r="A53"/>
      <c r="B53" s="132">
        <v>6</v>
      </c>
      <c r="C53" s="192"/>
      <c r="D53" s="193"/>
      <c r="E53" s="194"/>
      <c r="F53" s="126"/>
      <c r="G53" s="126"/>
      <c r="H53" s="197"/>
      <c r="I53" s="197"/>
      <c r="J53" s="197"/>
      <c r="K53" s="197"/>
      <c r="L53" s="197"/>
      <c r="M53" s="197"/>
      <c r="N53" s="24"/>
      <c r="O53" s="24"/>
      <c r="P53" s="24"/>
      <c r="Q53" s="27"/>
      <c r="R53" s="197"/>
      <c r="S53" s="197"/>
      <c r="T53" s="197"/>
      <c r="U53" s="25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</row>
    <row r="54" spans="1:73" s="1" customFormat="1" ht="16.5" customHeight="1" x14ac:dyDescent="0.2">
      <c r="A54"/>
      <c r="B54" s="132">
        <v>6</v>
      </c>
      <c r="C54" s="233"/>
      <c r="D54" s="197"/>
      <c r="E54" s="234"/>
      <c r="F54" s="124"/>
      <c r="G54" s="126"/>
      <c r="H54" s="197"/>
      <c r="I54" s="197"/>
      <c r="J54" s="197"/>
      <c r="K54" s="197"/>
      <c r="L54" s="197"/>
      <c r="M54" s="197"/>
      <c r="N54" s="24"/>
      <c r="O54" s="24"/>
      <c r="P54" s="24"/>
      <c r="Q54" s="27"/>
      <c r="R54" s="197"/>
      <c r="S54" s="197"/>
      <c r="T54" s="197"/>
      <c r="U54" s="25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</row>
    <row r="55" spans="1:73" s="1" customFormat="1" ht="16.5" customHeight="1" thickBot="1" x14ac:dyDescent="0.25">
      <c r="A55"/>
      <c r="B55" s="132">
        <v>6</v>
      </c>
      <c r="C55" s="205"/>
      <c r="D55" s="206"/>
      <c r="E55" s="207"/>
      <c r="F55" s="124"/>
      <c r="G55" s="24"/>
      <c r="H55" s="197"/>
      <c r="I55" s="197"/>
      <c r="J55" s="197"/>
      <c r="K55" s="197"/>
      <c r="L55" s="197"/>
      <c r="M55" s="197"/>
      <c r="N55" s="24"/>
      <c r="O55" s="24"/>
      <c r="P55" s="24"/>
      <c r="Q55" s="27"/>
      <c r="R55" s="197"/>
      <c r="S55" s="197"/>
      <c r="T55" s="197"/>
      <c r="U55" s="25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</row>
    <row r="56" spans="1:73" s="1" customFormat="1" ht="16.5" customHeight="1" x14ac:dyDescent="0.2">
      <c r="A56"/>
      <c r="B56" s="133">
        <v>7</v>
      </c>
      <c r="C56" s="230"/>
      <c r="D56" s="231"/>
      <c r="E56" s="232"/>
      <c r="F56" s="124"/>
      <c r="G56" s="126"/>
      <c r="H56" s="197"/>
      <c r="I56" s="197"/>
      <c r="J56" s="197"/>
      <c r="K56" s="197"/>
      <c r="L56" s="197"/>
      <c r="M56" s="197"/>
      <c r="N56" s="24"/>
      <c r="O56" s="24"/>
      <c r="P56" s="24"/>
      <c r="Q56" s="27"/>
      <c r="R56" s="197"/>
      <c r="S56" s="197"/>
      <c r="T56" s="197"/>
      <c r="U56" s="25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</row>
    <row r="57" spans="1:73" s="1" customFormat="1" ht="16.5" customHeight="1" x14ac:dyDescent="0.2">
      <c r="A57"/>
      <c r="B57" s="133">
        <v>7</v>
      </c>
      <c r="C57" s="233"/>
      <c r="D57" s="197"/>
      <c r="E57" s="234"/>
      <c r="F57" s="124"/>
      <c r="G57" s="126"/>
      <c r="H57" s="197"/>
      <c r="I57" s="197"/>
      <c r="J57" s="197"/>
      <c r="K57" s="197"/>
      <c r="L57" s="197"/>
      <c r="M57" s="197"/>
      <c r="N57" s="24"/>
      <c r="O57" s="24"/>
      <c r="P57" s="24"/>
      <c r="Q57" s="27"/>
      <c r="R57" s="197"/>
      <c r="S57" s="197"/>
      <c r="T57" s="197"/>
      <c r="U57" s="25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</row>
    <row r="58" spans="1:73" s="1" customFormat="1" ht="16.5" customHeight="1" x14ac:dyDescent="0.2">
      <c r="A58"/>
      <c r="B58" s="133">
        <v>7</v>
      </c>
      <c r="C58" s="233"/>
      <c r="D58" s="197"/>
      <c r="E58" s="234"/>
      <c r="F58" s="124"/>
      <c r="G58" s="126"/>
      <c r="H58" s="197"/>
      <c r="I58" s="197"/>
      <c r="J58" s="197"/>
      <c r="K58" s="197"/>
      <c r="L58" s="197"/>
      <c r="M58" s="197"/>
      <c r="N58" s="24"/>
      <c r="O58" s="24"/>
      <c r="P58" s="24"/>
      <c r="Q58" s="27"/>
      <c r="R58" s="197"/>
      <c r="S58" s="197"/>
      <c r="T58" s="197"/>
      <c r="U58" s="25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</row>
    <row r="59" spans="1:73" s="1" customFormat="1" ht="16.5" customHeight="1" thickBot="1" x14ac:dyDescent="0.25">
      <c r="A59"/>
      <c r="B59" s="133">
        <v>7</v>
      </c>
      <c r="C59" s="205"/>
      <c r="D59" s="206"/>
      <c r="E59" s="207"/>
      <c r="F59" s="124"/>
      <c r="G59" s="126"/>
      <c r="H59" s="197"/>
      <c r="I59" s="197"/>
      <c r="J59" s="197"/>
      <c r="K59" s="197"/>
      <c r="L59" s="197"/>
      <c r="M59" s="197"/>
      <c r="N59" s="24"/>
      <c r="O59" s="24"/>
      <c r="P59" s="24"/>
      <c r="Q59" s="27"/>
      <c r="R59" s="197"/>
      <c r="S59" s="197"/>
      <c r="T59" s="197"/>
      <c r="U59" s="25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</row>
    <row r="60" spans="1:73" s="1" customFormat="1" ht="16.5" customHeight="1" x14ac:dyDescent="0.2">
      <c r="A60"/>
      <c r="B60" s="134">
        <v>8</v>
      </c>
      <c r="C60" s="230"/>
      <c r="D60" s="231"/>
      <c r="E60" s="232"/>
      <c r="F60" s="124"/>
      <c r="G60" s="126"/>
      <c r="H60" s="197"/>
      <c r="I60" s="197"/>
      <c r="J60" s="197"/>
      <c r="K60" s="197"/>
      <c r="L60" s="197"/>
      <c r="M60" s="197"/>
      <c r="N60" s="24"/>
      <c r="O60" s="24"/>
      <c r="P60" s="24"/>
      <c r="Q60" s="27"/>
      <c r="R60" s="197"/>
      <c r="S60" s="197"/>
      <c r="T60" s="197"/>
      <c r="U60" s="25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</row>
    <row r="61" spans="1:73" s="1" customFormat="1" ht="16.5" customHeight="1" x14ac:dyDescent="0.2">
      <c r="A61"/>
      <c r="B61" s="134">
        <v>8</v>
      </c>
      <c r="C61" s="233"/>
      <c r="D61" s="197"/>
      <c r="E61" s="234"/>
      <c r="F61" s="124"/>
      <c r="G61" s="126"/>
      <c r="H61" s="197"/>
      <c r="I61" s="197"/>
      <c r="J61" s="197"/>
      <c r="K61" s="197"/>
      <c r="L61" s="197"/>
      <c r="M61" s="197"/>
      <c r="N61" s="24"/>
      <c r="O61" s="24"/>
      <c r="P61" s="24"/>
      <c r="Q61" s="27"/>
      <c r="R61" s="197"/>
      <c r="S61" s="197"/>
      <c r="T61" s="197"/>
      <c r="U61" s="25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</row>
    <row r="62" spans="1:73" s="1" customFormat="1" ht="16.5" customHeight="1" x14ac:dyDescent="0.2">
      <c r="A62"/>
      <c r="B62" s="134">
        <v>8</v>
      </c>
      <c r="C62" s="233"/>
      <c r="D62" s="197"/>
      <c r="E62" s="234"/>
      <c r="F62" s="124"/>
      <c r="G62" s="126"/>
      <c r="H62" s="197"/>
      <c r="I62" s="197"/>
      <c r="J62" s="197"/>
      <c r="K62" s="197"/>
      <c r="L62" s="197"/>
      <c r="M62" s="197"/>
      <c r="N62" s="24"/>
      <c r="O62" s="24"/>
      <c r="P62" s="24"/>
      <c r="Q62" s="27"/>
      <c r="R62" s="197"/>
      <c r="S62" s="197"/>
      <c r="T62" s="197"/>
      <c r="U62" s="25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</row>
    <row r="63" spans="1:73" s="1" customFormat="1" ht="16.5" customHeight="1" thickBot="1" x14ac:dyDescent="0.25">
      <c r="A63"/>
      <c r="B63" s="134">
        <v>8</v>
      </c>
      <c r="C63" s="205"/>
      <c r="D63" s="206"/>
      <c r="E63" s="207"/>
      <c r="F63" s="124"/>
      <c r="G63" s="126"/>
      <c r="H63" s="197"/>
      <c r="I63" s="197"/>
      <c r="J63" s="197"/>
      <c r="K63" s="197"/>
      <c r="L63" s="197"/>
      <c r="M63" s="197"/>
      <c r="N63" s="24"/>
      <c r="O63" s="24"/>
      <c r="P63" s="24"/>
      <c r="Q63" s="27"/>
      <c r="R63" s="197"/>
      <c r="S63" s="197"/>
      <c r="T63" s="197"/>
      <c r="U63" s="25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</row>
    <row r="64" spans="1:73" s="1" customFormat="1" ht="16.5" customHeight="1" x14ac:dyDescent="0.2">
      <c r="A64"/>
      <c r="B64" s="135">
        <v>9</v>
      </c>
      <c r="C64" s="136"/>
      <c r="D64" s="137"/>
      <c r="E64" s="138"/>
      <c r="F64" s="118"/>
      <c r="G64" s="126"/>
      <c r="H64" s="218"/>
      <c r="I64" s="219"/>
      <c r="J64" s="220"/>
      <c r="K64" s="197"/>
      <c r="L64" s="197"/>
      <c r="M64" s="197"/>
      <c r="N64" s="24"/>
      <c r="O64" s="24"/>
      <c r="P64" s="24"/>
      <c r="Q64" s="27"/>
      <c r="R64" s="197"/>
      <c r="S64" s="197"/>
      <c r="T64" s="197"/>
      <c r="U64" s="25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</row>
    <row r="65" spans="1:73" s="1" customFormat="1" ht="16.5" customHeight="1" x14ac:dyDescent="0.2">
      <c r="A65"/>
      <c r="B65" s="135">
        <v>9</v>
      </c>
      <c r="C65" s="139"/>
      <c r="D65" s="117"/>
      <c r="E65" s="140"/>
      <c r="F65" s="118"/>
      <c r="G65" s="126"/>
      <c r="H65" s="218"/>
      <c r="I65" s="219"/>
      <c r="J65" s="220"/>
      <c r="K65" s="197"/>
      <c r="L65" s="197"/>
      <c r="M65" s="197"/>
      <c r="N65" s="24"/>
      <c r="O65" s="24"/>
      <c r="P65" s="24"/>
      <c r="Q65" s="27"/>
      <c r="R65" s="197"/>
      <c r="S65" s="197"/>
      <c r="T65" s="197"/>
      <c r="U65" s="25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</row>
    <row r="66" spans="1:73" s="1" customFormat="1" ht="16.5" customHeight="1" thickBot="1" x14ac:dyDescent="0.25">
      <c r="A66"/>
      <c r="B66" s="135">
        <v>9</v>
      </c>
      <c r="C66" s="142"/>
      <c r="D66" s="143"/>
      <c r="E66" s="144"/>
      <c r="F66" s="118"/>
      <c r="G66" s="126"/>
      <c r="H66" s="218"/>
      <c r="I66" s="219"/>
      <c r="J66" s="220"/>
      <c r="K66" s="197"/>
      <c r="L66" s="197"/>
      <c r="M66" s="197"/>
      <c r="N66" s="24"/>
      <c r="O66" s="24"/>
      <c r="P66" s="24"/>
      <c r="Q66" s="27"/>
      <c r="R66" s="197"/>
      <c r="S66" s="197"/>
      <c r="T66" s="197"/>
      <c r="U66" s="25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</row>
    <row r="67" spans="1:73" s="1" customFormat="1" ht="16.5" customHeight="1" x14ac:dyDescent="0.2">
      <c r="A67"/>
      <c r="B67" s="141">
        <v>10</v>
      </c>
      <c r="C67" s="230"/>
      <c r="D67" s="231"/>
      <c r="E67" s="232"/>
      <c r="F67" s="124"/>
      <c r="G67" s="126"/>
      <c r="H67" s="197"/>
      <c r="I67" s="197"/>
      <c r="J67" s="197"/>
      <c r="K67" s="197"/>
      <c r="L67" s="197"/>
      <c r="M67" s="197"/>
      <c r="N67" s="24"/>
      <c r="O67" s="24"/>
      <c r="P67" s="24"/>
      <c r="Q67" s="27"/>
      <c r="R67" s="197"/>
      <c r="S67" s="197"/>
      <c r="T67" s="197"/>
      <c r="U67" s="25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</row>
    <row r="68" spans="1:73" s="1" customFormat="1" ht="16.5" customHeight="1" thickBot="1" x14ac:dyDescent="0.25">
      <c r="A68"/>
      <c r="B68" s="141">
        <v>10</v>
      </c>
      <c r="C68" s="205"/>
      <c r="D68" s="206"/>
      <c r="E68" s="207"/>
      <c r="F68" s="124"/>
      <c r="G68" s="126"/>
      <c r="H68" s="197"/>
      <c r="I68" s="197"/>
      <c r="J68" s="197"/>
      <c r="K68" s="197"/>
      <c r="L68" s="197"/>
      <c r="M68" s="197"/>
      <c r="N68" s="24"/>
      <c r="O68" s="24"/>
      <c r="P68" s="24"/>
      <c r="Q68" s="27"/>
      <c r="R68" s="197"/>
      <c r="S68" s="197"/>
      <c r="T68" s="197"/>
      <c r="U68" s="25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</row>
    <row r="69" spans="1:73" s="1" customFormat="1" ht="16.5" customHeight="1" thickBot="1" x14ac:dyDescent="0.25">
      <c r="A69"/>
      <c r="B69" s="145">
        <v>11</v>
      </c>
      <c r="C69" s="235"/>
      <c r="D69" s="236"/>
      <c r="E69" s="237"/>
      <c r="F69" s="124"/>
      <c r="G69" s="126"/>
      <c r="H69" s="197"/>
      <c r="I69" s="197"/>
      <c r="J69" s="197"/>
      <c r="K69" s="197"/>
      <c r="L69" s="197"/>
      <c r="M69" s="197"/>
      <c r="N69" s="24"/>
      <c r="O69" s="24"/>
      <c r="P69" s="24"/>
      <c r="Q69" s="27"/>
      <c r="R69" s="197"/>
      <c r="S69" s="197"/>
      <c r="T69" s="197"/>
      <c r="U69" s="25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</row>
    <row r="70" spans="1:73" s="29" customFormat="1" ht="16.5" customHeight="1" thickBot="1" x14ac:dyDescent="0.25">
      <c r="A70"/>
      <c r="B70" s="146">
        <v>12</v>
      </c>
      <c r="C70" s="235"/>
      <c r="D70" s="236"/>
      <c r="E70" s="237"/>
      <c r="F70" s="124"/>
      <c r="G70" s="126"/>
      <c r="H70" s="197"/>
      <c r="I70" s="197"/>
      <c r="J70" s="197"/>
      <c r="K70" s="197"/>
      <c r="L70" s="197"/>
      <c r="M70" s="197"/>
      <c r="N70" s="24"/>
      <c r="O70" s="24"/>
      <c r="P70" s="24"/>
      <c r="Q70" s="27"/>
      <c r="R70" s="197"/>
      <c r="S70" s="197"/>
      <c r="T70" s="197"/>
      <c r="U70" s="25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</row>
    <row r="71" spans="1:73" s="1" customFormat="1" ht="16.5" customHeight="1" thickBot="1" x14ac:dyDescent="0.25">
      <c r="B71" s="135">
        <v>13</v>
      </c>
      <c r="C71" s="238"/>
      <c r="D71" s="239"/>
      <c r="E71" s="240"/>
      <c r="F71" s="124"/>
      <c r="G71" s="126"/>
      <c r="H71" s="197"/>
      <c r="I71" s="197"/>
      <c r="J71" s="197"/>
      <c r="K71" s="197"/>
      <c r="L71" s="197"/>
      <c r="M71" s="197"/>
      <c r="N71" s="24"/>
      <c r="O71" s="24"/>
      <c r="P71" s="24"/>
      <c r="Q71" s="27"/>
      <c r="R71" s="197"/>
      <c r="S71" s="197"/>
      <c r="T71" s="197"/>
      <c r="U71" s="25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</row>
    <row r="72" spans="1:73" s="1" customFormat="1" ht="16.5" customHeight="1" x14ac:dyDescent="0.2">
      <c r="B72" s="34"/>
      <c r="C72" s="211"/>
      <c r="D72" s="211"/>
      <c r="E72" s="211"/>
      <c r="F72" s="27"/>
      <c r="G72" s="24"/>
      <c r="H72" s="197"/>
      <c r="I72" s="197"/>
      <c r="J72" s="197"/>
      <c r="K72" s="197"/>
      <c r="L72" s="197"/>
      <c r="M72" s="197"/>
      <c r="N72" s="24"/>
      <c r="O72" s="24"/>
      <c r="P72" s="24"/>
      <c r="Q72" s="27"/>
      <c r="R72" s="197"/>
      <c r="S72" s="197"/>
      <c r="T72" s="197"/>
      <c r="U72" s="25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</row>
    <row r="73" spans="1:73" s="1" customFormat="1" ht="16.5" customHeight="1" x14ac:dyDescent="0.2">
      <c r="J73" s="197"/>
      <c r="K73" s="197"/>
      <c r="L73" s="197"/>
      <c r="M73" s="24"/>
      <c r="N73" s="24"/>
      <c r="O73" s="24"/>
      <c r="P73" s="27"/>
      <c r="Q73" s="197"/>
      <c r="R73" s="197"/>
      <c r="S73" s="197"/>
      <c r="T73" s="25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</row>
    <row r="74" spans="1:73" s="1" customFormat="1" ht="23.25" customHeight="1" x14ac:dyDescent="0.2">
      <c r="C74" s="2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</row>
    <row r="75" spans="1:73" s="1" customFormat="1" ht="23.25" customHeight="1" x14ac:dyDescent="0.2">
      <c r="C75" s="2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</row>
    <row r="76" spans="1:73" s="1" customFormat="1" ht="23.25" customHeight="1" thickBot="1" x14ac:dyDescent="0.25">
      <c r="C76" s="2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</row>
    <row r="77" spans="1:73" s="1" customFormat="1" ht="42" customHeight="1" x14ac:dyDescent="0.2">
      <c r="B77" s="34">
        <v>9</v>
      </c>
      <c r="C77" s="248" t="s">
        <v>48</v>
      </c>
      <c r="D77" s="249"/>
      <c r="E77" s="250"/>
      <c r="F77" s="37"/>
      <c r="G77" s="37"/>
      <c r="H77" s="37"/>
      <c r="I77" s="37"/>
      <c r="J77" s="37"/>
      <c r="K77" s="37"/>
      <c r="L77" s="38"/>
      <c r="M77" s="39"/>
      <c r="N77" s="39"/>
      <c r="O77" s="39"/>
      <c r="P77" s="39"/>
      <c r="Q77" s="39"/>
      <c r="R77" s="39"/>
      <c r="S77" s="39"/>
      <c r="T77" s="39"/>
      <c r="U77" s="116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</row>
    <row r="78" spans="1:73" ht="38.25" customHeight="1" x14ac:dyDescent="0.2">
      <c r="B78" s="36">
        <v>10</v>
      </c>
      <c r="C78" s="40"/>
      <c r="D78" s="40" t="s">
        <v>49</v>
      </c>
      <c r="E78" s="40"/>
      <c r="F78" s="40" t="s">
        <v>50</v>
      </c>
      <c r="G78" s="40"/>
      <c r="H78" s="40" t="s">
        <v>51</v>
      </c>
      <c r="I78" s="40"/>
      <c r="J78" s="40"/>
      <c r="K78" s="40" t="s">
        <v>52</v>
      </c>
      <c r="L78" s="41"/>
      <c r="M78" s="3"/>
      <c r="N78" s="3"/>
      <c r="O78" s="3"/>
      <c r="P78" s="3"/>
    </row>
    <row r="79" spans="1:73" ht="21" customHeight="1" thickBot="1" x14ac:dyDescent="0.25">
      <c r="B79" s="42" t="s">
        <v>53</v>
      </c>
      <c r="C79" s="43" t="s">
        <v>54</v>
      </c>
      <c r="D79" s="43" t="s">
        <v>55</v>
      </c>
      <c r="E79" s="43" t="s">
        <v>56</v>
      </c>
      <c r="F79" s="43" t="s">
        <v>57</v>
      </c>
      <c r="G79" s="43" t="s">
        <v>58</v>
      </c>
      <c r="H79" s="43" t="s">
        <v>57</v>
      </c>
      <c r="I79" s="43" t="s">
        <v>59</v>
      </c>
      <c r="J79" s="43" t="s">
        <v>58</v>
      </c>
      <c r="K79" s="43" t="s">
        <v>60</v>
      </c>
      <c r="L79" s="44" t="s">
        <v>61</v>
      </c>
      <c r="M79" s="3"/>
      <c r="N79" s="3"/>
      <c r="O79" s="3"/>
      <c r="P79" s="3"/>
    </row>
    <row r="80" spans="1:73" ht="23.25" customHeight="1" x14ac:dyDescent="0.2">
      <c r="B80" s="45">
        <v>1</v>
      </c>
      <c r="C80" s="46">
        <v>45019</v>
      </c>
      <c r="D80" s="47"/>
      <c r="E80" s="47"/>
      <c r="F80" s="48"/>
      <c r="G80" s="48"/>
      <c r="H80" s="47"/>
      <c r="I80" s="47"/>
      <c r="J80" s="47"/>
      <c r="K80" s="48"/>
      <c r="L80" s="49"/>
      <c r="M80" s="3"/>
      <c r="N80" s="3"/>
      <c r="O80" s="3"/>
      <c r="P80" s="3"/>
    </row>
    <row r="81" spans="2:72" ht="23.25" customHeight="1" x14ac:dyDescent="0.2">
      <c r="B81" s="50">
        <v>2</v>
      </c>
      <c r="C81" s="51">
        <v>45026</v>
      </c>
      <c r="D81" s="52"/>
      <c r="E81" s="52"/>
      <c r="F81" s="53"/>
      <c r="G81" s="53"/>
      <c r="H81" s="52"/>
      <c r="I81" s="52"/>
      <c r="J81" s="52"/>
      <c r="K81" s="53"/>
      <c r="L81" s="54"/>
      <c r="M81" s="3"/>
      <c r="N81" s="3"/>
      <c r="O81" s="3"/>
      <c r="P81" s="3"/>
    </row>
    <row r="82" spans="2:72" ht="23.25" customHeight="1" x14ac:dyDescent="0.2">
      <c r="B82" s="50">
        <v>3</v>
      </c>
      <c r="C82" s="51">
        <f t="shared" ref="C82:C131" si="1">C81+7</f>
        <v>45033</v>
      </c>
      <c r="D82" s="52"/>
      <c r="E82" s="52"/>
      <c r="F82" s="53"/>
      <c r="G82" s="53"/>
      <c r="H82" s="52"/>
      <c r="I82" s="52"/>
      <c r="J82" s="52"/>
      <c r="K82" s="53"/>
      <c r="L82" s="54"/>
      <c r="M82" s="3"/>
      <c r="N82" s="3"/>
      <c r="O82" s="3"/>
      <c r="P82" s="3"/>
    </row>
    <row r="83" spans="2:72" ht="23.25" customHeight="1" x14ac:dyDescent="0.2">
      <c r="B83" s="50">
        <v>4</v>
      </c>
      <c r="C83" s="51">
        <f t="shared" si="1"/>
        <v>45040</v>
      </c>
      <c r="D83" s="52"/>
      <c r="E83" s="52"/>
      <c r="F83" s="53"/>
      <c r="G83" s="53"/>
      <c r="H83" s="52"/>
      <c r="I83" s="52"/>
      <c r="J83" s="52"/>
      <c r="K83" s="53"/>
      <c r="L83" s="54"/>
      <c r="M83" s="3"/>
      <c r="N83" s="3"/>
      <c r="O83" s="3"/>
      <c r="P83" s="3"/>
    </row>
    <row r="84" spans="2:72" ht="23.25" customHeight="1" x14ac:dyDescent="0.2">
      <c r="B84" s="50">
        <v>5</v>
      </c>
      <c r="C84" s="51">
        <f t="shared" si="1"/>
        <v>45047</v>
      </c>
      <c r="D84" s="52"/>
      <c r="E84" s="52"/>
      <c r="F84" s="53"/>
      <c r="G84" s="53"/>
      <c r="H84" s="52"/>
      <c r="I84" s="52"/>
      <c r="J84" s="52"/>
      <c r="K84" s="53"/>
      <c r="L84" s="54"/>
      <c r="M84" s="3"/>
      <c r="N84" s="3"/>
      <c r="O84" s="3"/>
      <c r="P84" s="3"/>
    </row>
    <row r="85" spans="2:72" ht="23.25" customHeight="1" x14ac:dyDescent="0.2">
      <c r="B85" s="50">
        <v>6</v>
      </c>
      <c r="C85" s="51">
        <f t="shared" si="1"/>
        <v>45054</v>
      </c>
      <c r="D85" s="52"/>
      <c r="E85" s="52"/>
      <c r="F85" s="53"/>
      <c r="G85" s="53"/>
      <c r="H85" s="52"/>
      <c r="I85" s="52"/>
      <c r="J85" s="52"/>
      <c r="K85" s="53"/>
      <c r="L85" s="54"/>
      <c r="M85" s="3"/>
      <c r="N85" s="3"/>
      <c r="O85" s="3"/>
      <c r="P85" s="3"/>
    </row>
    <row r="86" spans="2:72" ht="23.25" customHeight="1" x14ac:dyDescent="0.2">
      <c r="B86" s="50">
        <v>7</v>
      </c>
      <c r="C86" s="51">
        <f t="shared" si="1"/>
        <v>45061</v>
      </c>
      <c r="D86" s="52"/>
      <c r="E86" s="52"/>
      <c r="F86" s="53"/>
      <c r="G86" s="53"/>
      <c r="H86" s="52"/>
      <c r="I86" s="52"/>
      <c r="J86" s="52"/>
      <c r="K86" s="53"/>
      <c r="L86" s="54"/>
      <c r="M86" s="3"/>
      <c r="N86" s="3"/>
      <c r="O86" s="3"/>
      <c r="P86" s="3"/>
    </row>
    <row r="87" spans="2:72" ht="23.25" customHeight="1" x14ac:dyDescent="0.2">
      <c r="B87" s="50">
        <v>8</v>
      </c>
      <c r="C87" s="51">
        <f t="shared" si="1"/>
        <v>45068</v>
      </c>
      <c r="D87" s="52"/>
      <c r="E87" s="52"/>
      <c r="F87" s="53"/>
      <c r="G87" s="53"/>
      <c r="H87" s="52"/>
      <c r="J87" s="52"/>
      <c r="K87" s="53"/>
      <c r="L87" s="54"/>
      <c r="M87" s="3"/>
      <c r="N87" s="3"/>
      <c r="O87" s="3"/>
      <c r="P87" s="3"/>
    </row>
    <row r="88" spans="2:72" ht="23.25" customHeight="1" thickBot="1" x14ac:dyDescent="0.25">
      <c r="B88" s="50">
        <v>9</v>
      </c>
      <c r="C88" s="51">
        <f t="shared" si="1"/>
        <v>45075</v>
      </c>
      <c r="D88" s="52"/>
      <c r="E88" s="52"/>
      <c r="F88" s="53"/>
      <c r="G88" s="53"/>
      <c r="H88" s="52"/>
      <c r="I88" s="52"/>
      <c r="J88" s="52"/>
      <c r="K88" s="53"/>
      <c r="L88" s="54"/>
      <c r="M88" s="3"/>
      <c r="N88" s="3"/>
      <c r="O88" s="3"/>
      <c r="P88" s="3"/>
    </row>
    <row r="89" spans="2:72" ht="23.25" customHeight="1" x14ac:dyDescent="0.2">
      <c r="B89" s="50">
        <v>10</v>
      </c>
      <c r="C89" s="51">
        <f t="shared" si="1"/>
        <v>45082</v>
      </c>
      <c r="D89" s="52"/>
      <c r="E89" s="52"/>
      <c r="F89" s="53"/>
      <c r="G89" s="53"/>
      <c r="H89" s="52"/>
      <c r="I89" s="52"/>
      <c r="J89" s="52"/>
      <c r="K89" s="53"/>
      <c r="L89" s="54"/>
      <c r="M89" s="3"/>
      <c r="N89" s="241" t="s">
        <v>62</v>
      </c>
      <c r="O89" s="242"/>
      <c r="P89" s="243"/>
    </row>
    <row r="90" spans="2:72" ht="23.25" customHeight="1" x14ac:dyDescent="0.2">
      <c r="B90" s="50">
        <v>11</v>
      </c>
      <c r="C90" s="51">
        <f t="shared" si="1"/>
        <v>45089</v>
      </c>
      <c r="D90" s="52"/>
      <c r="E90" s="52"/>
      <c r="F90" s="53"/>
      <c r="G90" s="53"/>
      <c r="H90" s="52"/>
      <c r="I90" s="52"/>
      <c r="J90" s="52"/>
      <c r="K90" s="53"/>
      <c r="L90" s="54"/>
      <c r="M90" s="3"/>
      <c r="N90" s="244" t="s">
        <v>63</v>
      </c>
      <c r="O90" s="245"/>
      <c r="P90" s="55">
        <f>SUM(D80:D93)</f>
        <v>0</v>
      </c>
    </row>
    <row r="91" spans="2:72" ht="23.25" customHeight="1" x14ac:dyDescent="0.2">
      <c r="B91" s="50">
        <v>12</v>
      </c>
      <c r="C91" s="51">
        <f t="shared" si="1"/>
        <v>45096</v>
      </c>
      <c r="D91" s="52"/>
      <c r="E91" s="52"/>
      <c r="F91" s="53"/>
      <c r="G91" s="53"/>
      <c r="H91" s="52"/>
      <c r="I91" s="52"/>
      <c r="J91" s="52"/>
      <c r="K91" s="53"/>
      <c r="L91" s="54"/>
      <c r="M91" s="3"/>
      <c r="N91" s="244" t="s">
        <v>64</v>
      </c>
      <c r="O91" s="245"/>
      <c r="P91" s="55">
        <f>SUM(G80:G93)</f>
        <v>0</v>
      </c>
    </row>
    <row r="92" spans="2:72" ht="23.25" customHeight="1" x14ac:dyDescent="0.2">
      <c r="B92" s="50">
        <v>13</v>
      </c>
      <c r="C92" s="51">
        <f t="shared" si="1"/>
        <v>45103</v>
      </c>
      <c r="D92" s="52"/>
      <c r="E92" s="52"/>
      <c r="F92" s="53"/>
      <c r="G92" s="53"/>
      <c r="H92" s="52"/>
      <c r="I92" s="52"/>
      <c r="J92" s="52"/>
      <c r="K92" s="53"/>
      <c r="L92" s="54"/>
      <c r="M92" s="3"/>
      <c r="N92" s="244" t="s">
        <v>65</v>
      </c>
      <c r="O92" s="245"/>
      <c r="P92" s="55">
        <f>SUM(J80:J93)</f>
        <v>0</v>
      </c>
    </row>
    <row r="93" spans="2:72" ht="23.25" customHeight="1" thickBot="1" x14ac:dyDescent="0.25">
      <c r="B93" s="56">
        <v>14</v>
      </c>
      <c r="C93" s="51">
        <f t="shared" si="1"/>
        <v>45110</v>
      </c>
      <c r="D93" s="57"/>
      <c r="E93" s="57"/>
      <c r="F93" s="58"/>
      <c r="G93" s="58"/>
      <c r="H93" s="57"/>
      <c r="I93" s="57"/>
      <c r="J93" s="57"/>
      <c r="K93" s="58"/>
      <c r="L93" s="59"/>
      <c r="M93" s="3"/>
      <c r="N93" s="246" t="s">
        <v>66</v>
      </c>
      <c r="O93" s="247"/>
      <c r="P93" s="60">
        <f>SUM(L80:L93)</f>
        <v>0</v>
      </c>
    </row>
    <row r="94" spans="2:72" ht="23.25" customHeight="1" x14ac:dyDescent="0.2">
      <c r="B94" s="45">
        <v>15</v>
      </c>
      <c r="C94" s="51">
        <f t="shared" si="1"/>
        <v>45117</v>
      </c>
      <c r="D94" s="47"/>
      <c r="E94" s="47"/>
      <c r="F94" s="48"/>
      <c r="G94" s="48"/>
      <c r="H94" s="47"/>
      <c r="I94" s="47"/>
      <c r="J94" s="47"/>
      <c r="K94" s="48"/>
      <c r="L94" s="49"/>
      <c r="M94" s="3"/>
      <c r="N94" s="3"/>
      <c r="O94" s="3"/>
      <c r="P94" s="3"/>
    </row>
    <row r="95" spans="2:72" s="1" customFormat="1" ht="23.25" customHeight="1" x14ac:dyDescent="0.2">
      <c r="B95" s="50">
        <v>16</v>
      </c>
      <c r="C95" s="51">
        <f t="shared" si="1"/>
        <v>45124</v>
      </c>
      <c r="D95" s="52"/>
      <c r="E95" s="52"/>
      <c r="F95" s="53"/>
      <c r="G95" s="53"/>
      <c r="H95" s="52"/>
      <c r="I95" s="52"/>
      <c r="J95" s="52"/>
      <c r="K95" s="53"/>
      <c r="L95" s="5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</row>
    <row r="96" spans="2:72" s="1" customFormat="1" ht="23.25" customHeight="1" x14ac:dyDescent="0.2">
      <c r="B96" s="50">
        <v>17</v>
      </c>
      <c r="C96" s="51">
        <f t="shared" si="1"/>
        <v>45131</v>
      </c>
      <c r="D96" s="52"/>
      <c r="E96" s="52"/>
      <c r="F96" s="53"/>
      <c r="G96" s="53"/>
      <c r="H96" s="52"/>
      <c r="I96" s="52"/>
      <c r="J96" s="52"/>
      <c r="K96" s="53"/>
      <c r="L96" s="5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</row>
    <row r="97" spans="2:72" s="1" customFormat="1" ht="23.25" customHeight="1" x14ac:dyDescent="0.2">
      <c r="B97" s="50">
        <v>18</v>
      </c>
      <c r="C97" s="51">
        <f t="shared" si="1"/>
        <v>45138</v>
      </c>
      <c r="D97" s="52"/>
      <c r="E97" s="52"/>
      <c r="F97" s="53"/>
      <c r="G97" s="53"/>
      <c r="H97" s="52"/>
      <c r="I97" s="52"/>
      <c r="J97" s="52"/>
      <c r="K97" s="53"/>
      <c r="L97" s="5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</row>
    <row r="98" spans="2:72" s="1" customFormat="1" ht="23.25" customHeight="1" x14ac:dyDescent="0.2">
      <c r="B98" s="50">
        <v>19</v>
      </c>
      <c r="C98" s="51">
        <f t="shared" si="1"/>
        <v>45145</v>
      </c>
      <c r="D98" s="52"/>
      <c r="E98" s="52"/>
      <c r="F98" s="53"/>
      <c r="G98" s="53"/>
      <c r="H98" s="52"/>
      <c r="I98" s="52"/>
      <c r="J98" s="52"/>
      <c r="K98" s="53"/>
      <c r="L98" s="5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</row>
    <row r="99" spans="2:72" s="1" customFormat="1" ht="23.25" customHeight="1" x14ac:dyDescent="0.2">
      <c r="B99" s="50">
        <v>20</v>
      </c>
      <c r="C99" s="51">
        <f t="shared" si="1"/>
        <v>45152</v>
      </c>
      <c r="D99" s="52"/>
      <c r="E99" s="52"/>
      <c r="F99" s="53"/>
      <c r="G99" s="53"/>
      <c r="H99" s="52"/>
      <c r="I99" s="52"/>
      <c r="J99" s="52"/>
      <c r="K99" s="53"/>
      <c r="L99" s="5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</row>
    <row r="100" spans="2:72" s="1" customFormat="1" ht="23.25" customHeight="1" x14ac:dyDescent="0.2">
      <c r="B100" s="50">
        <v>21</v>
      </c>
      <c r="C100" s="51">
        <f t="shared" si="1"/>
        <v>45159</v>
      </c>
      <c r="D100" s="52"/>
      <c r="E100" s="52"/>
      <c r="F100" s="53"/>
      <c r="G100" s="53"/>
      <c r="H100" s="52"/>
      <c r="I100" s="52"/>
      <c r="J100" s="52"/>
      <c r="K100" s="53"/>
      <c r="L100" s="5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</row>
    <row r="101" spans="2:72" s="1" customFormat="1" ht="23.25" customHeight="1" thickBot="1" x14ac:dyDescent="0.25">
      <c r="B101" s="50">
        <v>22</v>
      </c>
      <c r="C101" s="51">
        <f t="shared" si="1"/>
        <v>45166</v>
      </c>
      <c r="D101" s="52"/>
      <c r="E101" s="52"/>
      <c r="F101" s="53"/>
      <c r="G101" s="53"/>
      <c r="H101" s="52"/>
      <c r="I101" s="52"/>
      <c r="J101" s="52"/>
      <c r="K101" s="53"/>
      <c r="L101" s="54"/>
      <c r="M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</row>
    <row r="102" spans="2:72" s="1" customFormat="1" ht="23.25" customHeight="1" x14ac:dyDescent="0.2">
      <c r="B102" s="50">
        <v>23</v>
      </c>
      <c r="C102" s="51">
        <f t="shared" si="1"/>
        <v>45173</v>
      </c>
      <c r="D102" s="52"/>
      <c r="E102" s="52"/>
      <c r="F102" s="53"/>
      <c r="G102" s="53"/>
      <c r="H102" s="52"/>
      <c r="I102" s="52"/>
      <c r="J102" s="52"/>
      <c r="K102" s="53"/>
      <c r="L102" s="54"/>
      <c r="M102" s="3"/>
      <c r="N102" s="241" t="s">
        <v>67</v>
      </c>
      <c r="O102" s="242"/>
      <c r="P102" s="24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</row>
    <row r="103" spans="2:72" s="1" customFormat="1" ht="23.25" customHeight="1" x14ac:dyDescent="0.2">
      <c r="B103" s="50">
        <v>24</v>
      </c>
      <c r="C103" s="51">
        <f t="shared" si="1"/>
        <v>45180</v>
      </c>
      <c r="D103" s="52"/>
      <c r="E103" s="52"/>
      <c r="F103" s="53"/>
      <c r="G103" s="53"/>
      <c r="H103" s="52"/>
      <c r="I103" s="52"/>
      <c r="J103" s="52"/>
      <c r="K103" s="53"/>
      <c r="L103" s="54"/>
      <c r="M103" s="3"/>
      <c r="N103" s="244" t="s">
        <v>63</v>
      </c>
      <c r="O103" s="245"/>
      <c r="P103" s="55">
        <f>SUM(D94:D106)</f>
        <v>0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</row>
    <row r="104" spans="2:72" s="1" customFormat="1" ht="23.25" customHeight="1" x14ac:dyDescent="0.2">
      <c r="B104" s="50">
        <v>25</v>
      </c>
      <c r="C104" s="51">
        <f t="shared" si="1"/>
        <v>45187</v>
      </c>
      <c r="D104" s="52"/>
      <c r="E104" s="52"/>
      <c r="F104" s="53"/>
      <c r="G104" s="53"/>
      <c r="H104" s="52"/>
      <c r="I104" s="52"/>
      <c r="J104" s="52"/>
      <c r="K104" s="53"/>
      <c r="L104" s="54"/>
      <c r="M104" s="3"/>
      <c r="N104" s="244" t="s">
        <v>64</v>
      </c>
      <c r="O104" s="245"/>
      <c r="P104" s="55">
        <f>SUM(G94:G106)</f>
        <v>0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</row>
    <row r="105" spans="2:72" s="1" customFormat="1" ht="23.25" customHeight="1" x14ac:dyDescent="0.2">
      <c r="B105" s="50">
        <v>26</v>
      </c>
      <c r="C105" s="51">
        <f t="shared" si="1"/>
        <v>45194</v>
      </c>
      <c r="D105" s="52"/>
      <c r="E105" s="52"/>
      <c r="F105" s="53"/>
      <c r="G105" s="53"/>
      <c r="H105" s="52"/>
      <c r="I105" s="52"/>
      <c r="J105" s="52"/>
      <c r="K105" s="53"/>
      <c r="L105" s="54"/>
      <c r="M105" s="3"/>
      <c r="N105" s="244" t="s">
        <v>65</v>
      </c>
      <c r="O105" s="245"/>
      <c r="P105" s="55">
        <f>SUM(J94:J106)</f>
        <v>0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</row>
    <row r="106" spans="2:72" s="1" customFormat="1" ht="23.25" customHeight="1" thickBot="1" x14ac:dyDescent="0.25">
      <c r="B106" s="56">
        <v>27</v>
      </c>
      <c r="C106" s="51">
        <f t="shared" si="1"/>
        <v>45201</v>
      </c>
      <c r="D106" s="57"/>
      <c r="E106" s="57"/>
      <c r="F106" s="58"/>
      <c r="G106" s="58"/>
      <c r="H106" s="57"/>
      <c r="I106" s="57"/>
      <c r="J106" s="57"/>
      <c r="K106" s="58"/>
      <c r="L106" s="59"/>
      <c r="M106" s="3"/>
      <c r="N106" s="246" t="s">
        <v>66</v>
      </c>
      <c r="O106" s="247"/>
      <c r="P106" s="60">
        <f>SUM(L94:L106)</f>
        <v>0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</row>
    <row r="107" spans="2:72" s="1" customFormat="1" ht="23.25" customHeight="1" x14ac:dyDescent="0.2">
      <c r="B107" s="45">
        <v>28</v>
      </c>
      <c r="C107" s="51">
        <f t="shared" si="1"/>
        <v>45208</v>
      </c>
      <c r="D107" s="47"/>
      <c r="E107" s="47"/>
      <c r="F107" s="48"/>
      <c r="G107" s="48"/>
      <c r="H107" s="47"/>
      <c r="I107" s="47"/>
      <c r="J107" s="47"/>
      <c r="K107" s="48"/>
      <c r="L107" s="49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</row>
    <row r="108" spans="2:72" s="1" customFormat="1" ht="23.25" customHeight="1" x14ac:dyDescent="0.2">
      <c r="B108" s="50">
        <v>29</v>
      </c>
      <c r="C108" s="51">
        <f t="shared" si="1"/>
        <v>45215</v>
      </c>
      <c r="D108" s="52"/>
      <c r="E108" s="52"/>
      <c r="F108" s="53"/>
      <c r="G108" s="53"/>
      <c r="H108" s="52"/>
      <c r="I108" s="52"/>
      <c r="J108" s="52"/>
      <c r="K108" s="53"/>
      <c r="L108" s="5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</row>
    <row r="109" spans="2:72" s="1" customFormat="1" ht="23.25" customHeight="1" x14ac:dyDescent="0.2">
      <c r="B109" s="50">
        <v>30</v>
      </c>
      <c r="C109" s="51">
        <f t="shared" si="1"/>
        <v>45222</v>
      </c>
      <c r="D109" s="52"/>
      <c r="E109" s="52"/>
      <c r="F109" s="53"/>
      <c r="G109" s="53"/>
      <c r="H109" s="52"/>
      <c r="I109" s="52"/>
      <c r="J109" s="52"/>
      <c r="K109" s="53"/>
      <c r="L109" s="5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</row>
    <row r="110" spans="2:72" s="1" customFormat="1" ht="23.25" customHeight="1" x14ac:dyDescent="0.2">
      <c r="B110" s="50">
        <v>31</v>
      </c>
      <c r="C110" s="51">
        <f t="shared" si="1"/>
        <v>45229</v>
      </c>
      <c r="D110" s="52"/>
      <c r="E110" s="52"/>
      <c r="F110" s="53"/>
      <c r="G110" s="53"/>
      <c r="H110" s="52"/>
      <c r="I110" s="52"/>
      <c r="J110" s="52"/>
      <c r="K110" s="53"/>
      <c r="L110" s="5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</row>
    <row r="111" spans="2:72" s="1" customFormat="1" ht="23.25" customHeight="1" x14ac:dyDescent="0.2">
      <c r="B111" s="50">
        <v>32</v>
      </c>
      <c r="C111" s="51">
        <f t="shared" si="1"/>
        <v>45236</v>
      </c>
      <c r="D111" s="52"/>
      <c r="E111" s="52"/>
      <c r="F111" s="53"/>
      <c r="G111" s="53"/>
      <c r="H111" s="52"/>
      <c r="I111" s="52"/>
      <c r="J111" s="52"/>
      <c r="K111" s="53"/>
      <c r="L111" s="5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</row>
    <row r="112" spans="2:72" s="1" customFormat="1" ht="23.25" customHeight="1" x14ac:dyDescent="0.2">
      <c r="B112" s="50">
        <v>33</v>
      </c>
      <c r="C112" s="51">
        <f t="shared" si="1"/>
        <v>45243</v>
      </c>
      <c r="D112" s="52"/>
      <c r="E112" s="52"/>
      <c r="F112" s="53"/>
      <c r="G112" s="53"/>
      <c r="H112" s="52"/>
      <c r="I112" s="52"/>
      <c r="J112" s="52"/>
      <c r="K112" s="53"/>
      <c r="L112" s="5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</row>
    <row r="113" spans="2:72" s="1" customFormat="1" ht="23.25" customHeight="1" x14ac:dyDescent="0.2">
      <c r="B113" s="50">
        <v>34</v>
      </c>
      <c r="C113" s="51">
        <f t="shared" si="1"/>
        <v>45250</v>
      </c>
      <c r="D113" s="52"/>
      <c r="E113" s="52"/>
      <c r="F113" s="53"/>
      <c r="G113" s="53"/>
      <c r="H113" s="52"/>
      <c r="I113" s="52"/>
      <c r="J113" s="52"/>
      <c r="K113" s="53"/>
      <c r="L113" s="5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</row>
    <row r="114" spans="2:72" s="1" customFormat="1" ht="23.25" customHeight="1" thickBot="1" x14ac:dyDescent="0.25">
      <c r="B114" s="50">
        <v>35</v>
      </c>
      <c r="C114" s="51">
        <f t="shared" si="1"/>
        <v>45257</v>
      </c>
      <c r="D114" s="52"/>
      <c r="E114" s="52"/>
      <c r="F114" s="53"/>
      <c r="G114" s="53"/>
      <c r="H114" s="52"/>
      <c r="I114" s="52"/>
      <c r="J114" s="52"/>
      <c r="K114" s="53"/>
      <c r="L114" s="5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</row>
    <row r="115" spans="2:72" s="1" customFormat="1" ht="23.25" customHeight="1" x14ac:dyDescent="0.2">
      <c r="B115" s="50">
        <v>36</v>
      </c>
      <c r="C115" s="51">
        <f t="shared" si="1"/>
        <v>45264</v>
      </c>
      <c r="D115" s="52"/>
      <c r="E115" s="52"/>
      <c r="F115" s="53"/>
      <c r="G115" s="53"/>
      <c r="H115" s="52"/>
      <c r="I115" s="52"/>
      <c r="J115" s="52"/>
      <c r="K115" s="53"/>
      <c r="L115" s="54"/>
      <c r="M115" s="3"/>
      <c r="N115" s="241" t="s">
        <v>68</v>
      </c>
      <c r="O115" s="242"/>
      <c r="P115" s="24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</row>
    <row r="116" spans="2:72" s="1" customFormat="1" ht="23.25" customHeight="1" x14ac:dyDescent="0.2">
      <c r="B116" s="50">
        <v>37</v>
      </c>
      <c r="C116" s="51">
        <f t="shared" si="1"/>
        <v>45271</v>
      </c>
      <c r="D116" s="52"/>
      <c r="E116" s="52"/>
      <c r="F116" s="53"/>
      <c r="G116" s="53"/>
      <c r="H116" s="52"/>
      <c r="I116" s="52"/>
      <c r="J116" s="52"/>
      <c r="K116" s="53"/>
      <c r="L116" s="54"/>
      <c r="M116" s="3"/>
      <c r="N116" s="244" t="s">
        <v>63</v>
      </c>
      <c r="O116" s="245"/>
      <c r="P116" s="55">
        <f>SUM(D107:D119)</f>
        <v>0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</row>
    <row r="117" spans="2:72" s="1" customFormat="1" ht="23.25" customHeight="1" x14ac:dyDescent="0.2">
      <c r="B117" s="50">
        <v>38</v>
      </c>
      <c r="C117" s="51">
        <f t="shared" si="1"/>
        <v>45278</v>
      </c>
      <c r="D117" s="52"/>
      <c r="E117" s="52"/>
      <c r="F117" s="53"/>
      <c r="G117" s="53"/>
      <c r="H117" s="52"/>
      <c r="I117" s="52"/>
      <c r="J117" s="52"/>
      <c r="K117" s="53"/>
      <c r="L117" s="54"/>
      <c r="M117" s="3"/>
      <c r="N117" s="251" t="s">
        <v>64</v>
      </c>
      <c r="O117" s="252"/>
      <c r="P117" s="55">
        <f>SUM(G107:G119)</f>
        <v>0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</row>
    <row r="118" spans="2:72" s="1" customFormat="1" ht="23.25" customHeight="1" x14ac:dyDescent="0.2">
      <c r="B118" s="50">
        <v>39</v>
      </c>
      <c r="C118" s="51">
        <f t="shared" si="1"/>
        <v>45285</v>
      </c>
      <c r="D118" s="52"/>
      <c r="E118" s="52"/>
      <c r="F118" s="53"/>
      <c r="G118" s="53"/>
      <c r="H118" s="52"/>
      <c r="I118" s="52"/>
      <c r="J118" s="52"/>
      <c r="K118" s="53"/>
      <c r="L118" s="54"/>
      <c r="M118" s="3"/>
      <c r="N118" s="251" t="s">
        <v>65</v>
      </c>
      <c r="O118" s="252"/>
      <c r="P118" s="55">
        <f>SUM(J107:J119)</f>
        <v>0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</row>
    <row r="119" spans="2:72" s="1" customFormat="1" ht="23.25" customHeight="1" thickBot="1" x14ac:dyDescent="0.25">
      <c r="B119" s="56">
        <v>40</v>
      </c>
      <c r="C119" s="51">
        <f t="shared" si="1"/>
        <v>45292</v>
      </c>
      <c r="D119" s="57"/>
      <c r="E119" s="57"/>
      <c r="F119" s="58"/>
      <c r="G119" s="58"/>
      <c r="H119" s="57"/>
      <c r="I119" s="57"/>
      <c r="J119" s="57"/>
      <c r="K119" s="58"/>
      <c r="L119" s="59"/>
      <c r="M119" s="3"/>
      <c r="N119" s="253" t="s">
        <v>66</v>
      </c>
      <c r="O119" s="254"/>
      <c r="P119" s="60">
        <f>SUM(L107:L119)</f>
        <v>0</v>
      </c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</row>
    <row r="120" spans="2:72" s="1" customFormat="1" ht="23.25" customHeight="1" x14ac:dyDescent="0.2">
      <c r="B120" s="61">
        <v>41</v>
      </c>
      <c r="C120" s="51">
        <f t="shared" si="1"/>
        <v>45299</v>
      </c>
      <c r="D120" s="62"/>
      <c r="E120" s="62"/>
      <c r="F120" s="63"/>
      <c r="G120" s="63"/>
      <c r="H120" s="62"/>
      <c r="I120" s="62"/>
      <c r="J120" s="62"/>
      <c r="K120" s="63"/>
      <c r="L120" s="6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</row>
    <row r="121" spans="2:72" s="1" customFormat="1" ht="23.25" customHeight="1" x14ac:dyDescent="0.2">
      <c r="B121" s="50">
        <v>42</v>
      </c>
      <c r="C121" s="51">
        <f t="shared" si="1"/>
        <v>45306</v>
      </c>
      <c r="D121" s="52"/>
      <c r="E121" s="52"/>
      <c r="F121" s="53"/>
      <c r="G121" s="53"/>
      <c r="H121" s="52"/>
      <c r="I121" s="52"/>
      <c r="J121" s="52"/>
      <c r="K121" s="53"/>
      <c r="L121" s="5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</row>
    <row r="122" spans="2:72" s="1" customFormat="1" ht="23.25" customHeight="1" x14ac:dyDescent="0.2">
      <c r="B122" s="50">
        <v>43</v>
      </c>
      <c r="C122" s="51">
        <f t="shared" si="1"/>
        <v>45313</v>
      </c>
      <c r="D122" s="52"/>
      <c r="E122" s="52"/>
      <c r="F122" s="53"/>
      <c r="G122" s="53"/>
      <c r="H122" s="52"/>
      <c r="I122" s="52"/>
      <c r="J122" s="52"/>
      <c r="K122" s="53"/>
      <c r="L122" s="5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</row>
    <row r="123" spans="2:72" s="1" customFormat="1" ht="23.25" customHeight="1" x14ac:dyDescent="0.2">
      <c r="B123" s="50">
        <v>44</v>
      </c>
      <c r="C123" s="51">
        <f t="shared" si="1"/>
        <v>45320</v>
      </c>
      <c r="D123" s="52"/>
      <c r="E123" s="52"/>
      <c r="F123" s="53"/>
      <c r="G123" s="53"/>
      <c r="H123" s="52"/>
      <c r="I123" s="52"/>
      <c r="J123" s="52"/>
      <c r="K123" s="53"/>
      <c r="L123" s="5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</row>
    <row r="124" spans="2:72" s="1" customFormat="1" ht="23.25" customHeight="1" x14ac:dyDescent="0.2">
      <c r="B124" s="50">
        <v>45</v>
      </c>
      <c r="C124" s="51">
        <f t="shared" si="1"/>
        <v>45327</v>
      </c>
      <c r="D124" s="52"/>
      <c r="E124" s="52"/>
      <c r="F124" s="53"/>
      <c r="G124" s="53"/>
      <c r="H124" s="52"/>
      <c r="I124" s="52"/>
      <c r="J124" s="52"/>
      <c r="K124" s="53"/>
      <c r="L124" s="5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</row>
    <row r="125" spans="2:72" s="1" customFormat="1" ht="23.25" customHeight="1" x14ac:dyDescent="0.2">
      <c r="B125" s="50">
        <v>46</v>
      </c>
      <c r="C125" s="51">
        <f t="shared" si="1"/>
        <v>45334</v>
      </c>
      <c r="D125" s="52"/>
      <c r="E125" s="52"/>
      <c r="F125" s="53"/>
      <c r="G125" s="53"/>
      <c r="H125" s="52"/>
      <c r="I125" s="52"/>
      <c r="J125" s="52"/>
      <c r="K125" s="53"/>
      <c r="L125" s="5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</row>
    <row r="126" spans="2:72" s="1" customFormat="1" ht="23.25" customHeight="1" x14ac:dyDescent="0.2">
      <c r="B126" s="50">
        <v>47</v>
      </c>
      <c r="C126" s="51">
        <f t="shared" si="1"/>
        <v>45341</v>
      </c>
      <c r="D126" s="52"/>
      <c r="E126" s="52"/>
      <c r="F126" s="53"/>
      <c r="G126" s="53"/>
      <c r="H126" s="52"/>
      <c r="I126" s="52"/>
      <c r="J126" s="52"/>
      <c r="K126" s="53"/>
      <c r="L126" s="5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</row>
    <row r="127" spans="2:72" s="1" customFormat="1" ht="23.25" customHeight="1" x14ac:dyDescent="0.2">
      <c r="B127" s="50">
        <v>48</v>
      </c>
      <c r="C127" s="51">
        <f t="shared" si="1"/>
        <v>45348</v>
      </c>
      <c r="D127" s="52"/>
      <c r="E127" s="52"/>
      <c r="F127" s="53"/>
      <c r="G127" s="53"/>
      <c r="H127" s="52"/>
      <c r="I127" s="52"/>
      <c r="J127" s="52"/>
      <c r="K127" s="53"/>
      <c r="L127" s="5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</row>
    <row r="128" spans="2:72" s="1" customFormat="1" ht="23.25" customHeight="1" thickBot="1" x14ac:dyDescent="0.25">
      <c r="B128" s="50">
        <v>49</v>
      </c>
      <c r="C128" s="51">
        <f t="shared" si="1"/>
        <v>45355</v>
      </c>
      <c r="D128" s="52"/>
      <c r="E128" s="52"/>
      <c r="F128" s="53"/>
      <c r="G128" s="53"/>
      <c r="H128" s="52"/>
      <c r="I128" s="52"/>
      <c r="J128" s="52"/>
      <c r="K128" s="53"/>
      <c r="L128" s="5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</row>
    <row r="129" spans="2:72" s="1" customFormat="1" ht="23.25" customHeight="1" x14ac:dyDescent="0.2">
      <c r="B129" s="50">
        <v>50</v>
      </c>
      <c r="C129" s="51">
        <f t="shared" si="1"/>
        <v>45362</v>
      </c>
      <c r="D129" s="52"/>
      <c r="E129" s="52"/>
      <c r="F129" s="53"/>
      <c r="G129" s="53"/>
      <c r="H129" s="52"/>
      <c r="I129" s="52"/>
      <c r="J129" s="52"/>
      <c r="K129" s="53"/>
      <c r="L129" s="54"/>
      <c r="M129" s="3"/>
      <c r="N129" s="241" t="s">
        <v>69</v>
      </c>
      <c r="O129" s="242"/>
      <c r="P129" s="24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</row>
    <row r="130" spans="2:72" s="1" customFormat="1" ht="23.25" customHeight="1" x14ac:dyDescent="0.2">
      <c r="B130" s="50">
        <v>51</v>
      </c>
      <c r="C130" s="51">
        <f t="shared" si="1"/>
        <v>45369</v>
      </c>
      <c r="D130" s="52"/>
      <c r="E130" s="52"/>
      <c r="F130" s="53"/>
      <c r="G130" s="53"/>
      <c r="H130" s="52"/>
      <c r="I130" s="52"/>
      <c r="J130" s="52"/>
      <c r="K130" s="53"/>
      <c r="L130" s="54"/>
      <c r="M130" s="3"/>
      <c r="N130" s="251" t="s">
        <v>70</v>
      </c>
      <c r="O130" s="252"/>
      <c r="P130" s="55">
        <f>SUM(D120:D132)</f>
        <v>0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</row>
    <row r="131" spans="2:72" s="1" customFormat="1" ht="23.25" customHeight="1" x14ac:dyDescent="0.2">
      <c r="B131" s="50">
        <v>52</v>
      </c>
      <c r="C131" s="51">
        <f t="shared" si="1"/>
        <v>45376</v>
      </c>
      <c r="D131" s="52"/>
      <c r="E131" s="52"/>
      <c r="F131" s="53"/>
      <c r="G131" s="53"/>
      <c r="H131" s="52"/>
      <c r="I131" s="52"/>
      <c r="J131" s="52"/>
      <c r="K131" s="53"/>
      <c r="L131" s="54"/>
      <c r="M131" s="3"/>
      <c r="N131" s="251" t="s">
        <v>64</v>
      </c>
      <c r="O131" s="252"/>
      <c r="P131" s="55">
        <f>SUM(G120:G132)</f>
        <v>0</v>
      </c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</row>
    <row r="132" spans="2:72" s="1" customFormat="1" ht="23.25" customHeight="1" x14ac:dyDescent="0.2">
      <c r="B132" s="50">
        <v>53</v>
      </c>
      <c r="C132" s="51"/>
      <c r="D132" s="52"/>
      <c r="E132" s="52"/>
      <c r="F132" s="53"/>
      <c r="G132" s="53"/>
      <c r="H132" s="52"/>
      <c r="I132" s="52"/>
      <c r="J132" s="52"/>
      <c r="K132" s="53"/>
      <c r="L132" s="54"/>
      <c r="M132" s="3"/>
      <c r="N132" s="251" t="s">
        <v>65</v>
      </c>
      <c r="O132" s="252"/>
      <c r="P132" s="55">
        <f>SUM(J120:J132)</f>
        <v>0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</row>
    <row r="133" spans="2:72" s="1" customFormat="1" ht="17" thickBot="1" x14ac:dyDescent="0.25">
      <c r="B133" s="65"/>
      <c r="C133" s="66" t="s">
        <v>71</v>
      </c>
      <c r="D133" s="67" t="s">
        <v>72</v>
      </c>
      <c r="E133" s="67" t="s">
        <v>72</v>
      </c>
      <c r="F133" s="67" t="s">
        <v>72</v>
      </c>
      <c r="G133" s="67" t="s">
        <v>72</v>
      </c>
      <c r="H133" s="67" t="s">
        <v>72</v>
      </c>
      <c r="I133" s="67" t="s">
        <v>72</v>
      </c>
      <c r="J133" s="67" t="s">
        <v>72</v>
      </c>
      <c r="K133" s="67" t="s">
        <v>72</v>
      </c>
      <c r="L133" s="68" t="s">
        <v>72</v>
      </c>
      <c r="M133" s="3"/>
      <c r="N133" s="253" t="s">
        <v>66</v>
      </c>
      <c r="O133" s="254"/>
      <c r="P133" s="60">
        <f>SUM(L120:L132)</f>
        <v>0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</row>
    <row r="134" spans="2:72" s="1" customFormat="1" ht="17" thickBot="1" x14ac:dyDescent="0.25">
      <c r="B134" s="42"/>
      <c r="C134" s="69"/>
      <c r="D134" s="70">
        <f t="shared" ref="D134:L134" si="2">SUM(D80:D132)</f>
        <v>0</v>
      </c>
      <c r="E134" s="70">
        <f t="shared" si="2"/>
        <v>0</v>
      </c>
      <c r="F134" s="70">
        <f t="shared" si="2"/>
        <v>0</v>
      </c>
      <c r="G134" s="70">
        <f t="shared" si="2"/>
        <v>0</v>
      </c>
      <c r="H134" s="70">
        <f t="shared" si="2"/>
        <v>0</v>
      </c>
      <c r="I134" s="70">
        <f t="shared" si="2"/>
        <v>0</v>
      </c>
      <c r="J134" s="70">
        <f t="shared" si="2"/>
        <v>0</v>
      </c>
      <c r="K134" s="70">
        <f t="shared" si="2"/>
        <v>0</v>
      </c>
      <c r="L134" s="71">
        <f t="shared" si="2"/>
        <v>0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</row>
    <row r="135" spans="2:72" s="1" customFormat="1" x14ac:dyDescent="0.2">
      <c r="C135" s="2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</row>
    <row r="136" spans="2:72" s="1" customFormat="1" x14ac:dyDescent="0.2">
      <c r="C136" s="2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</row>
    <row r="137" spans="2:72" s="1" customFormat="1" x14ac:dyDescent="0.2">
      <c r="C137" s="2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</row>
    <row r="138" spans="2:72" s="1" customFormat="1" x14ac:dyDescent="0.2">
      <c r="C138" s="2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</row>
    <row r="139" spans="2:72" s="1" customFormat="1" x14ac:dyDescent="0.2">
      <c r="C139" s="2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</row>
    <row r="140" spans="2:72" s="1" customFormat="1" x14ac:dyDescent="0.2">
      <c r="C140" s="2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</row>
    <row r="141" spans="2:72" s="1" customFormat="1" x14ac:dyDescent="0.2">
      <c r="C141" s="2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</row>
    <row r="142" spans="2:72" s="1" customFormat="1" x14ac:dyDescent="0.2">
      <c r="C142" s="2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</row>
    <row r="143" spans="2:72" s="1" customFormat="1" x14ac:dyDescent="0.2">
      <c r="C143" s="2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</row>
    <row r="144" spans="2:72" s="1" customFormat="1" x14ac:dyDescent="0.2">
      <c r="C144" s="2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</row>
    <row r="145" spans="2:72" s="1" customFormat="1" x14ac:dyDescent="0.2">
      <c r="C145" s="2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</row>
    <row r="146" spans="2:72" s="1" customFormat="1" x14ac:dyDescent="0.2">
      <c r="C146" s="2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</row>
    <row r="147" spans="2:72" s="1" customFormat="1" x14ac:dyDescent="0.2">
      <c r="C147" s="2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</row>
    <row r="148" spans="2:72" x14ac:dyDescent="0.2"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3"/>
    </row>
    <row r="149" spans="2:72" s="3" customFormat="1" x14ac:dyDescent="0.2"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2:72" s="3" customFormat="1" x14ac:dyDescent="0.2"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2:72" s="3" customFormat="1" x14ac:dyDescent="0.2"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2:72" s="3" customFormat="1" x14ac:dyDescent="0.2"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2:72" s="3" customFormat="1" x14ac:dyDescent="0.2"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2:72" s="3" customFormat="1" x14ac:dyDescent="0.2"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2:72" s="3" customFormat="1" x14ac:dyDescent="0.2"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2:72" s="3" customFormat="1" x14ac:dyDescent="0.2"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2:72" s="3" customFormat="1" x14ac:dyDescent="0.2"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2:72" s="3" customFormat="1" x14ac:dyDescent="0.2"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74"/>
    </row>
    <row r="159" spans="2:72" s="3" customFormat="1" x14ac:dyDescent="0.2"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74"/>
    </row>
    <row r="160" spans="2:72" s="3" customFormat="1" x14ac:dyDescent="0.2"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74"/>
    </row>
    <row r="161" spans="2:16" s="3" customFormat="1" x14ac:dyDescent="0.2"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74"/>
    </row>
    <row r="162" spans="2:16" s="3" customFormat="1" x14ac:dyDescent="0.2"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74"/>
    </row>
    <row r="163" spans="2:16" s="3" customFormat="1" x14ac:dyDescent="0.2"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74"/>
    </row>
    <row r="164" spans="2:16" s="3" customFormat="1" x14ac:dyDescent="0.2">
      <c r="B164"/>
      <c r="C164" s="72"/>
      <c r="D164"/>
      <c r="E164"/>
      <c r="F164"/>
      <c r="G164"/>
      <c r="H164"/>
      <c r="I164"/>
      <c r="J164"/>
      <c r="K164"/>
      <c r="L164"/>
      <c r="M164"/>
      <c r="N164"/>
      <c r="O164"/>
      <c r="P164" s="74"/>
    </row>
    <row r="165" spans="2:16" s="3" customFormat="1" x14ac:dyDescent="0.2">
      <c r="C165" s="73"/>
      <c r="P165" s="74"/>
    </row>
    <row r="166" spans="2:16" s="3" customFormat="1" x14ac:dyDescent="0.2">
      <c r="C166" s="73"/>
      <c r="P166" s="74"/>
    </row>
    <row r="167" spans="2:16" s="3" customFormat="1" x14ac:dyDescent="0.2">
      <c r="C167" s="73"/>
      <c r="P167" s="74"/>
    </row>
    <row r="168" spans="2:16" s="3" customFormat="1" x14ac:dyDescent="0.2">
      <c r="C168" s="73"/>
      <c r="P168" s="74"/>
    </row>
    <row r="169" spans="2:16" s="3" customFormat="1" x14ac:dyDescent="0.2">
      <c r="C169" s="73"/>
      <c r="P169" s="74"/>
    </row>
    <row r="170" spans="2:16" s="3" customFormat="1" x14ac:dyDescent="0.2">
      <c r="C170" s="73"/>
      <c r="P170" s="74"/>
    </row>
    <row r="171" spans="2:16" s="3" customFormat="1" x14ac:dyDescent="0.2">
      <c r="C171" s="73"/>
      <c r="P171" s="74"/>
    </row>
    <row r="172" spans="2:16" s="3" customFormat="1" x14ac:dyDescent="0.2">
      <c r="C172" s="73"/>
      <c r="P172" s="74"/>
    </row>
    <row r="173" spans="2:16" s="3" customFormat="1" x14ac:dyDescent="0.2">
      <c r="C173" s="73"/>
      <c r="P173" s="74"/>
    </row>
    <row r="174" spans="2:16" s="3" customFormat="1" x14ac:dyDescent="0.2">
      <c r="C174" s="73"/>
      <c r="P174" s="74"/>
    </row>
    <row r="175" spans="2:16" s="3" customFormat="1" x14ac:dyDescent="0.2">
      <c r="C175" s="73"/>
      <c r="P175" s="74"/>
    </row>
    <row r="176" spans="2:16" s="3" customFormat="1" x14ac:dyDescent="0.2">
      <c r="C176" s="73"/>
      <c r="P176" s="74"/>
    </row>
    <row r="177" spans="3:16" s="3" customFormat="1" x14ac:dyDescent="0.2">
      <c r="C177" s="73"/>
      <c r="P177" s="74"/>
    </row>
    <row r="178" spans="3:16" s="3" customFormat="1" x14ac:dyDescent="0.2">
      <c r="C178" s="73"/>
      <c r="P178" s="74"/>
    </row>
    <row r="179" spans="3:16" s="3" customFormat="1" x14ac:dyDescent="0.2">
      <c r="C179" s="73"/>
      <c r="P179" s="74"/>
    </row>
    <row r="180" spans="3:16" s="3" customFormat="1" x14ac:dyDescent="0.2">
      <c r="C180" s="73"/>
      <c r="P180" s="74"/>
    </row>
    <row r="181" spans="3:16" s="3" customFormat="1" x14ac:dyDescent="0.2">
      <c r="C181" s="73"/>
      <c r="P181" s="74"/>
    </row>
    <row r="182" spans="3:16" s="3" customFormat="1" x14ac:dyDescent="0.2">
      <c r="C182" s="73"/>
      <c r="P182" s="74"/>
    </row>
    <row r="183" spans="3:16" s="3" customFormat="1" x14ac:dyDescent="0.2">
      <c r="C183" s="73"/>
      <c r="P183" s="74"/>
    </row>
    <row r="184" spans="3:16" s="3" customFormat="1" x14ac:dyDescent="0.2">
      <c r="C184" s="73"/>
      <c r="P184" s="74"/>
    </row>
    <row r="185" spans="3:16" s="3" customFormat="1" x14ac:dyDescent="0.2">
      <c r="C185" s="73"/>
      <c r="P185" s="74"/>
    </row>
    <row r="186" spans="3:16" s="3" customFormat="1" x14ac:dyDescent="0.2">
      <c r="C186" s="73"/>
      <c r="P186" s="74"/>
    </row>
    <row r="187" spans="3:16" s="3" customFormat="1" x14ac:dyDescent="0.2">
      <c r="C187" s="73"/>
      <c r="P187" s="74"/>
    </row>
    <row r="188" spans="3:16" s="3" customFormat="1" x14ac:dyDescent="0.2">
      <c r="C188" s="73"/>
      <c r="P188" s="74"/>
    </row>
    <row r="189" spans="3:16" s="3" customFormat="1" x14ac:dyDescent="0.2">
      <c r="C189" s="73"/>
      <c r="P189" s="74"/>
    </row>
    <row r="190" spans="3:16" s="3" customFormat="1" x14ac:dyDescent="0.2">
      <c r="C190" s="73"/>
      <c r="P190" s="74"/>
    </row>
    <row r="191" spans="3:16" s="3" customFormat="1" x14ac:dyDescent="0.2">
      <c r="C191" s="73"/>
      <c r="P191" s="74"/>
    </row>
    <row r="192" spans="3:16" s="3" customFormat="1" x14ac:dyDescent="0.2">
      <c r="C192" s="73"/>
      <c r="P192" s="74"/>
    </row>
    <row r="193" spans="3:16" s="3" customFormat="1" x14ac:dyDescent="0.2">
      <c r="C193" s="73"/>
      <c r="P193" s="74"/>
    </row>
    <row r="194" spans="3:16" s="3" customFormat="1" x14ac:dyDescent="0.2">
      <c r="C194" s="73"/>
      <c r="P194" s="74"/>
    </row>
    <row r="195" spans="3:16" s="3" customFormat="1" x14ac:dyDescent="0.2">
      <c r="C195" s="73"/>
      <c r="P195" s="74"/>
    </row>
    <row r="196" spans="3:16" s="3" customFormat="1" x14ac:dyDescent="0.2">
      <c r="C196" s="73"/>
      <c r="P196" s="74"/>
    </row>
    <row r="197" spans="3:16" s="3" customFormat="1" x14ac:dyDescent="0.2">
      <c r="C197" s="73"/>
      <c r="P197" s="74"/>
    </row>
    <row r="198" spans="3:16" s="3" customFormat="1" x14ac:dyDescent="0.2">
      <c r="C198" s="73"/>
      <c r="P198" s="74"/>
    </row>
    <row r="199" spans="3:16" s="3" customFormat="1" x14ac:dyDescent="0.2">
      <c r="C199" s="73"/>
      <c r="P199" s="74"/>
    </row>
    <row r="200" spans="3:16" s="3" customFormat="1" x14ac:dyDescent="0.2">
      <c r="C200" s="73"/>
      <c r="P200" s="74"/>
    </row>
    <row r="201" spans="3:16" s="3" customFormat="1" x14ac:dyDescent="0.2">
      <c r="C201" s="73"/>
      <c r="P201" s="74"/>
    </row>
    <row r="202" spans="3:16" s="3" customFormat="1" x14ac:dyDescent="0.2">
      <c r="C202" s="73"/>
      <c r="P202" s="74"/>
    </row>
    <row r="203" spans="3:16" s="3" customFormat="1" x14ac:dyDescent="0.2">
      <c r="C203" s="73"/>
      <c r="P203" s="74"/>
    </row>
    <row r="204" spans="3:16" s="3" customFormat="1" x14ac:dyDescent="0.2">
      <c r="C204" s="73"/>
      <c r="P204" s="74"/>
    </row>
    <row r="205" spans="3:16" s="3" customFormat="1" x14ac:dyDescent="0.2">
      <c r="C205" s="73"/>
      <c r="P205" s="74"/>
    </row>
    <row r="206" spans="3:16" s="3" customFormat="1" x14ac:dyDescent="0.2">
      <c r="C206" s="73"/>
      <c r="P206" s="74"/>
    </row>
    <row r="207" spans="3:16" s="3" customFormat="1" x14ac:dyDescent="0.2">
      <c r="C207" s="73"/>
      <c r="P207" s="74"/>
    </row>
    <row r="208" spans="3:16" s="3" customFormat="1" x14ac:dyDescent="0.2">
      <c r="C208" s="73"/>
      <c r="P208" s="74"/>
    </row>
  </sheetData>
  <mergeCells count="280">
    <mergeCell ref="N131:O131"/>
    <mergeCell ref="N132:O132"/>
    <mergeCell ref="N133:O133"/>
    <mergeCell ref="N116:O116"/>
    <mergeCell ref="N117:O117"/>
    <mergeCell ref="N118:O118"/>
    <mergeCell ref="N119:O119"/>
    <mergeCell ref="N129:P129"/>
    <mergeCell ref="N130:O130"/>
    <mergeCell ref="N102:P102"/>
    <mergeCell ref="N103:O103"/>
    <mergeCell ref="N104:O104"/>
    <mergeCell ref="N105:O105"/>
    <mergeCell ref="N106:O106"/>
    <mergeCell ref="N115:P115"/>
    <mergeCell ref="C77:E77"/>
    <mergeCell ref="N89:P89"/>
    <mergeCell ref="N90:O90"/>
    <mergeCell ref="N91:O91"/>
    <mergeCell ref="N92:O92"/>
    <mergeCell ref="N93:O93"/>
    <mergeCell ref="C72:E72"/>
    <mergeCell ref="H72:J72"/>
    <mergeCell ref="K72:M72"/>
    <mergeCell ref="R72:T72"/>
    <mergeCell ref="J73:L73"/>
    <mergeCell ref="Q73:S73"/>
    <mergeCell ref="C70:E70"/>
    <mergeCell ref="H70:J70"/>
    <mergeCell ref="K70:M70"/>
    <mergeCell ref="R70:T70"/>
    <mergeCell ref="C71:E71"/>
    <mergeCell ref="H71:J71"/>
    <mergeCell ref="K71:M71"/>
    <mergeCell ref="R71:T71"/>
    <mergeCell ref="C68:E68"/>
    <mergeCell ref="H68:J68"/>
    <mergeCell ref="K68:M68"/>
    <mergeCell ref="R68:T68"/>
    <mergeCell ref="C69:E69"/>
    <mergeCell ref="H69:J69"/>
    <mergeCell ref="K69:M69"/>
    <mergeCell ref="R69:T69"/>
    <mergeCell ref="H66:J66"/>
    <mergeCell ref="K66:M66"/>
    <mergeCell ref="R66:T66"/>
    <mergeCell ref="C67:E67"/>
    <mergeCell ref="H67:J67"/>
    <mergeCell ref="K67:M67"/>
    <mergeCell ref="R67:T67"/>
    <mergeCell ref="H64:J64"/>
    <mergeCell ref="K64:M64"/>
    <mergeCell ref="R64:T64"/>
    <mergeCell ref="H65:J65"/>
    <mergeCell ref="K65:M65"/>
    <mergeCell ref="R65:T65"/>
    <mergeCell ref="C62:E62"/>
    <mergeCell ref="H62:J62"/>
    <mergeCell ref="K62:M62"/>
    <mergeCell ref="R62:T62"/>
    <mergeCell ref="C63:E63"/>
    <mergeCell ref="H63:J63"/>
    <mergeCell ref="K63:M63"/>
    <mergeCell ref="R63:T63"/>
    <mergeCell ref="C60:E60"/>
    <mergeCell ref="H60:J60"/>
    <mergeCell ref="K60:M60"/>
    <mergeCell ref="R60:T60"/>
    <mergeCell ref="C61:E61"/>
    <mergeCell ref="H61:J61"/>
    <mergeCell ref="K61:M61"/>
    <mergeCell ref="R61:T61"/>
    <mergeCell ref="C58:E58"/>
    <mergeCell ref="H58:J58"/>
    <mergeCell ref="K58:M58"/>
    <mergeCell ref="R58:T58"/>
    <mergeCell ref="C59:E59"/>
    <mergeCell ref="H59:J59"/>
    <mergeCell ref="K59:M59"/>
    <mergeCell ref="R59:T59"/>
    <mergeCell ref="C56:E56"/>
    <mergeCell ref="H56:J56"/>
    <mergeCell ref="K56:M56"/>
    <mergeCell ref="R56:T56"/>
    <mergeCell ref="C57:E57"/>
    <mergeCell ref="H57:J57"/>
    <mergeCell ref="K57:M57"/>
    <mergeCell ref="R57:T57"/>
    <mergeCell ref="C54:E54"/>
    <mergeCell ref="H54:J54"/>
    <mergeCell ref="K54:M54"/>
    <mergeCell ref="R54:T54"/>
    <mergeCell ref="C55:E55"/>
    <mergeCell ref="H55:J55"/>
    <mergeCell ref="K55:M55"/>
    <mergeCell ref="R55:T55"/>
    <mergeCell ref="C52:E52"/>
    <mergeCell ref="H52:J52"/>
    <mergeCell ref="K52:M52"/>
    <mergeCell ref="R52:T52"/>
    <mergeCell ref="C53:E53"/>
    <mergeCell ref="H53:J53"/>
    <mergeCell ref="K53:M53"/>
    <mergeCell ref="R53:T53"/>
    <mergeCell ref="C50:E50"/>
    <mergeCell ref="H50:J50"/>
    <mergeCell ref="K50:M50"/>
    <mergeCell ref="R50:T50"/>
    <mergeCell ref="C51:E51"/>
    <mergeCell ref="H51:J51"/>
    <mergeCell ref="K51:M51"/>
    <mergeCell ref="R51:T51"/>
    <mergeCell ref="C48:E48"/>
    <mergeCell ref="H48:J48"/>
    <mergeCell ref="K48:M48"/>
    <mergeCell ref="R48:T48"/>
    <mergeCell ref="C49:E49"/>
    <mergeCell ref="H49:J49"/>
    <mergeCell ref="K49:M49"/>
    <mergeCell ref="R49:T49"/>
    <mergeCell ref="C46:E46"/>
    <mergeCell ref="H46:J46"/>
    <mergeCell ref="K46:M46"/>
    <mergeCell ref="R46:T46"/>
    <mergeCell ref="C47:E47"/>
    <mergeCell ref="H47:J47"/>
    <mergeCell ref="K47:M47"/>
    <mergeCell ref="R47:T47"/>
    <mergeCell ref="C44:E44"/>
    <mergeCell ref="K44:M44"/>
    <mergeCell ref="R44:T44"/>
    <mergeCell ref="C45:E45"/>
    <mergeCell ref="H45:J45"/>
    <mergeCell ref="K45:M45"/>
    <mergeCell ref="R45:T45"/>
    <mergeCell ref="C42:E42"/>
    <mergeCell ref="K42:M42"/>
    <mergeCell ref="R42:T42"/>
    <mergeCell ref="C43:E43"/>
    <mergeCell ref="K43:M43"/>
    <mergeCell ref="R43:T43"/>
    <mergeCell ref="C40:E40"/>
    <mergeCell ref="H40:J40"/>
    <mergeCell ref="K40:M40"/>
    <mergeCell ref="R40:T40"/>
    <mergeCell ref="C41:E41"/>
    <mergeCell ref="K41:M41"/>
    <mergeCell ref="R41:T41"/>
    <mergeCell ref="C38:E38"/>
    <mergeCell ref="H38:J38"/>
    <mergeCell ref="K38:M38"/>
    <mergeCell ref="R38:T38"/>
    <mergeCell ref="C39:E39"/>
    <mergeCell ref="H39:J39"/>
    <mergeCell ref="K39:M39"/>
    <mergeCell ref="R39:T39"/>
    <mergeCell ref="C36:E36"/>
    <mergeCell ref="H36:J36"/>
    <mergeCell ref="K36:M36"/>
    <mergeCell ref="R36:T36"/>
    <mergeCell ref="C37:E37"/>
    <mergeCell ref="H37:J37"/>
    <mergeCell ref="K37:M37"/>
    <mergeCell ref="R37:T37"/>
    <mergeCell ref="C34:E34"/>
    <mergeCell ref="H34:J34"/>
    <mergeCell ref="K34:M34"/>
    <mergeCell ref="R34:T34"/>
    <mergeCell ref="C35:E35"/>
    <mergeCell ref="H35:J35"/>
    <mergeCell ref="K35:M35"/>
    <mergeCell ref="R35:T35"/>
    <mergeCell ref="C32:E32"/>
    <mergeCell ref="H32:J32"/>
    <mergeCell ref="K32:M32"/>
    <mergeCell ref="R32:T32"/>
    <mergeCell ref="C33:E33"/>
    <mergeCell ref="H33:J33"/>
    <mergeCell ref="K33:M33"/>
    <mergeCell ref="R33:T33"/>
    <mergeCell ref="C30:E30"/>
    <mergeCell ref="H30:J30"/>
    <mergeCell ref="K30:M30"/>
    <mergeCell ref="R30:T30"/>
    <mergeCell ref="C31:E31"/>
    <mergeCell ref="H31:J31"/>
    <mergeCell ref="K31:M31"/>
    <mergeCell ref="R31:T31"/>
    <mergeCell ref="C28:E28"/>
    <mergeCell ref="H28:J28"/>
    <mergeCell ref="K28:M28"/>
    <mergeCell ref="R28:T28"/>
    <mergeCell ref="C29:E29"/>
    <mergeCell ref="H29:J29"/>
    <mergeCell ref="K29:M29"/>
    <mergeCell ref="R29:T29"/>
    <mergeCell ref="C26:E26"/>
    <mergeCell ref="H26:J26"/>
    <mergeCell ref="K26:M26"/>
    <mergeCell ref="R26:T26"/>
    <mergeCell ref="C27:E27"/>
    <mergeCell ref="H27:J27"/>
    <mergeCell ref="K27:M27"/>
    <mergeCell ref="R27:T27"/>
    <mergeCell ref="B23:C23"/>
    <mergeCell ref="D23:K23"/>
    <mergeCell ref="P23:Q23"/>
    <mergeCell ref="S23:T23"/>
    <mergeCell ref="B25:C25"/>
    <mergeCell ref="D25:T25"/>
    <mergeCell ref="B20:C20"/>
    <mergeCell ref="D20:K20"/>
    <mergeCell ref="B21:C21"/>
    <mergeCell ref="D21:K21"/>
    <mergeCell ref="B22:C22"/>
    <mergeCell ref="D22:K22"/>
    <mergeCell ref="B18:C18"/>
    <mergeCell ref="D18:K18"/>
    <mergeCell ref="P18:Q18"/>
    <mergeCell ref="S18:T18"/>
    <mergeCell ref="B19:C19"/>
    <mergeCell ref="D19:K19"/>
    <mergeCell ref="P19:Q19"/>
    <mergeCell ref="S19:T19"/>
    <mergeCell ref="B16:C16"/>
    <mergeCell ref="D16:K16"/>
    <mergeCell ref="P16:Q16"/>
    <mergeCell ref="S16:T16"/>
    <mergeCell ref="B17:C17"/>
    <mergeCell ref="D17:K17"/>
    <mergeCell ref="P17:Q17"/>
    <mergeCell ref="S17:T17"/>
    <mergeCell ref="B14:C14"/>
    <mergeCell ref="D14:K14"/>
    <mergeCell ref="P14:Q14"/>
    <mergeCell ref="S14:T14"/>
    <mergeCell ref="B15:C15"/>
    <mergeCell ref="D15:K15"/>
    <mergeCell ref="P15:Q15"/>
    <mergeCell ref="S15:T15"/>
    <mergeCell ref="B12:C12"/>
    <mergeCell ref="D12:K12"/>
    <mergeCell ref="P12:Q12"/>
    <mergeCell ref="S12:T12"/>
    <mergeCell ref="B13:C13"/>
    <mergeCell ref="D13:K13"/>
    <mergeCell ref="P13:Q13"/>
    <mergeCell ref="S13:T13"/>
    <mergeCell ref="P10:Q10"/>
    <mergeCell ref="S10:T10"/>
    <mergeCell ref="B11:C11"/>
    <mergeCell ref="D11:K11"/>
    <mergeCell ref="P11:Q11"/>
    <mergeCell ref="S11:T11"/>
    <mergeCell ref="B8:C8"/>
    <mergeCell ref="D8:M8"/>
    <mergeCell ref="P8:Q8"/>
    <mergeCell ref="S8:T8"/>
    <mergeCell ref="B9:C10"/>
    <mergeCell ref="D9:K10"/>
    <mergeCell ref="L9:L10"/>
    <mergeCell ref="M9:M10"/>
    <mergeCell ref="P9:Q9"/>
    <mergeCell ref="S9:T9"/>
    <mergeCell ref="P4:Q4"/>
    <mergeCell ref="B5:E6"/>
    <mergeCell ref="F5:G6"/>
    <mergeCell ref="H5:K6"/>
    <mergeCell ref="L5:M6"/>
    <mergeCell ref="P6:Q6"/>
    <mergeCell ref="B2:C2"/>
    <mergeCell ref="D2:E2"/>
    <mergeCell ref="F2:G2"/>
    <mergeCell ref="H2:M2"/>
    <mergeCell ref="P2:Q2"/>
    <mergeCell ref="B3:E4"/>
    <mergeCell ref="F3:G4"/>
    <mergeCell ref="H3:K4"/>
    <mergeCell ref="L3:M4"/>
    <mergeCell ref="P3:Q3"/>
  </mergeCells>
  <conditionalFormatting sqref="L5:M6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6D4C-8ADA-3D4F-A54F-88A47462008F}">
  <dimension ref="A1:BU208"/>
  <sheetViews>
    <sheetView tabSelected="1" zoomScaleNormal="100" workbookViewId="0">
      <selection activeCell="D19" sqref="D19:K19"/>
    </sheetView>
  </sheetViews>
  <sheetFormatPr baseColWidth="10" defaultColWidth="8.6640625" defaultRowHeight="15" x14ac:dyDescent="0.2"/>
  <cols>
    <col min="1" max="1" width="4.5" style="1" customWidth="1"/>
    <col min="2" max="2" width="15.6640625" bestFit="1" customWidth="1"/>
    <col min="3" max="3" width="33" style="72" bestFit="1" customWidth="1"/>
    <col min="4" max="4" width="12.1640625" customWidth="1"/>
    <col min="5" max="5" width="28" customWidth="1"/>
    <col min="6" max="6" width="12.5" bestFit="1" customWidth="1"/>
    <col min="7" max="7" width="10.6640625" bestFit="1" customWidth="1"/>
    <col min="8" max="8" width="18.5" customWidth="1"/>
    <col min="9" max="9" width="59.5" customWidth="1"/>
    <col min="10" max="10" width="13.6640625" customWidth="1"/>
    <col min="11" max="11" width="14" customWidth="1"/>
    <col min="12" max="12" width="14.6640625" customWidth="1"/>
    <col min="13" max="13" width="13.6640625" customWidth="1"/>
    <col min="14" max="14" width="11" customWidth="1"/>
    <col min="15" max="15" width="13.5" bestFit="1" customWidth="1"/>
    <col min="16" max="16" width="11" style="74" customWidth="1"/>
    <col min="17" max="17" width="20.5" style="3" customWidth="1"/>
    <col min="18" max="18" width="5.5" style="3" customWidth="1"/>
    <col min="19" max="19" width="19.5" style="3" customWidth="1"/>
    <col min="20" max="22" width="27.5" style="3" customWidth="1"/>
    <col min="23" max="23" width="40.5" style="3" bestFit="1" customWidth="1"/>
    <col min="24" max="24" width="29" style="3" customWidth="1"/>
    <col min="25" max="72" width="8.6640625" style="3"/>
  </cols>
  <sheetData>
    <row r="1" spans="2:72" s="1" customFormat="1" ht="15" customHeight="1" thickBot="1" x14ac:dyDescent="0.25">
      <c r="C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2:72" ht="46.5" customHeight="1" x14ac:dyDescent="0.2">
      <c r="B2" s="155" t="s">
        <v>0</v>
      </c>
      <c r="C2" s="155"/>
      <c r="D2" s="156" t="s">
        <v>1</v>
      </c>
      <c r="E2" s="156"/>
      <c r="F2" s="157"/>
      <c r="G2" s="157"/>
      <c r="H2" s="156" t="s">
        <v>2</v>
      </c>
      <c r="I2" s="156"/>
      <c r="J2" s="156"/>
      <c r="K2" s="156"/>
      <c r="L2" s="156"/>
      <c r="M2" s="156"/>
      <c r="N2" s="3"/>
      <c r="O2" s="4" t="s">
        <v>3</v>
      </c>
      <c r="P2" s="158" t="s">
        <v>4</v>
      </c>
      <c r="Q2" s="158"/>
    </row>
    <row r="3" spans="2:72" ht="24.75" customHeight="1" x14ac:dyDescent="0.2">
      <c r="B3" s="149" t="s">
        <v>73</v>
      </c>
      <c r="C3" s="149"/>
      <c r="D3" s="149"/>
      <c r="E3" s="149"/>
      <c r="F3" s="159">
        <v>2300000</v>
      </c>
      <c r="G3" s="159"/>
      <c r="H3" s="152" t="s">
        <v>6</v>
      </c>
      <c r="I3" s="152"/>
      <c r="J3" s="152"/>
      <c r="K3" s="152"/>
      <c r="L3" s="159">
        <v>4000000</v>
      </c>
      <c r="M3" s="159"/>
      <c r="N3" s="5"/>
      <c r="O3" s="6" t="s">
        <v>7</v>
      </c>
      <c r="P3" s="148"/>
      <c r="Q3" s="148"/>
    </row>
    <row r="4" spans="2:72" ht="21" customHeight="1" x14ac:dyDescent="0.2">
      <c r="B4" s="149"/>
      <c r="C4" s="149"/>
      <c r="D4" s="149"/>
      <c r="E4" s="149"/>
      <c r="F4" s="159"/>
      <c r="G4" s="159"/>
      <c r="H4" s="152"/>
      <c r="I4" s="152"/>
      <c r="J4" s="152"/>
      <c r="K4" s="152"/>
      <c r="L4" s="159"/>
      <c r="M4" s="159"/>
      <c r="N4" s="3"/>
      <c r="O4" s="6" t="s">
        <v>8</v>
      </c>
      <c r="P4" s="148"/>
      <c r="Q4" s="148"/>
    </row>
    <row r="5" spans="2:72" ht="21" customHeight="1" x14ac:dyDescent="0.2">
      <c r="B5" s="149" t="s">
        <v>74</v>
      </c>
      <c r="C5" s="149"/>
      <c r="D5" s="149"/>
      <c r="E5" s="149"/>
      <c r="F5" s="150">
        <f>SUM(T27:T73)</f>
        <v>0</v>
      </c>
      <c r="G5" s="150"/>
      <c r="H5" s="151" t="s">
        <v>10</v>
      </c>
      <c r="I5" s="152"/>
      <c r="J5" s="152"/>
      <c r="K5" s="152"/>
      <c r="L5" s="153">
        <f>SUM(L3-F3)</f>
        <v>1700000</v>
      </c>
      <c r="M5" s="153"/>
      <c r="N5" s="3"/>
      <c r="O5" s="7" t="s">
        <v>11</v>
      </c>
      <c r="P5" s="8"/>
      <c r="Q5" s="9"/>
    </row>
    <row r="6" spans="2:72" ht="21" customHeight="1" thickBot="1" x14ac:dyDescent="0.25">
      <c r="B6" s="149"/>
      <c r="C6" s="149"/>
      <c r="D6" s="149"/>
      <c r="E6" s="149"/>
      <c r="F6" s="150"/>
      <c r="G6" s="150"/>
      <c r="H6" s="152"/>
      <c r="I6" s="152"/>
      <c r="J6" s="152"/>
      <c r="K6" s="152"/>
      <c r="L6" s="153"/>
      <c r="M6" s="153"/>
      <c r="N6" s="3"/>
      <c r="O6" s="10" t="s">
        <v>12</v>
      </c>
      <c r="P6" s="154"/>
      <c r="Q6" s="154"/>
    </row>
    <row r="7" spans="2:72" s="1" customFormat="1" ht="9" customHeight="1" thickBot="1" x14ac:dyDescent="0.25">
      <c r="C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2:72" s="1" customFormat="1" ht="46.5" customHeight="1" x14ac:dyDescent="0.2">
      <c r="B8" s="155" t="s">
        <v>13</v>
      </c>
      <c r="C8" s="155"/>
      <c r="D8" s="156" t="s">
        <v>14</v>
      </c>
      <c r="E8" s="156"/>
      <c r="F8" s="156"/>
      <c r="G8" s="156"/>
      <c r="H8" s="156"/>
      <c r="I8" s="156"/>
      <c r="J8" s="156"/>
      <c r="K8" s="156"/>
      <c r="L8" s="156"/>
      <c r="M8" s="156"/>
      <c r="N8" s="3"/>
      <c r="O8" s="4" t="s">
        <v>15</v>
      </c>
      <c r="P8" s="158" t="s">
        <v>16</v>
      </c>
      <c r="Q8" s="158"/>
      <c r="R8" s="3"/>
      <c r="S8" s="164" t="s">
        <v>17</v>
      </c>
      <c r="T8" s="164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</row>
    <row r="9" spans="2:72" s="1" customFormat="1" ht="17.25" customHeight="1" x14ac:dyDescent="0.2">
      <c r="B9" s="165" t="s">
        <v>18</v>
      </c>
      <c r="C9" s="165"/>
      <c r="D9" s="166" t="s">
        <v>19</v>
      </c>
      <c r="E9" s="166"/>
      <c r="F9" s="166"/>
      <c r="G9" s="166"/>
      <c r="H9" s="166"/>
      <c r="I9" s="166"/>
      <c r="J9" s="166"/>
      <c r="K9" s="166"/>
      <c r="L9" s="167" t="s">
        <v>20</v>
      </c>
      <c r="M9" s="168" t="s">
        <v>21</v>
      </c>
      <c r="N9" s="3"/>
      <c r="O9" s="6" t="s">
        <v>22</v>
      </c>
      <c r="P9" s="148"/>
      <c r="Q9" s="148"/>
      <c r="R9" s="3"/>
      <c r="S9" s="160">
        <v>1</v>
      </c>
      <c r="T9" s="160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</row>
    <row r="10" spans="2:72" s="1" customFormat="1" ht="17.25" customHeight="1" x14ac:dyDescent="0.2">
      <c r="B10" s="165"/>
      <c r="C10" s="165"/>
      <c r="D10" s="166"/>
      <c r="E10" s="166"/>
      <c r="F10" s="166"/>
      <c r="G10" s="166"/>
      <c r="H10" s="166"/>
      <c r="I10" s="166"/>
      <c r="J10" s="166"/>
      <c r="K10" s="166"/>
      <c r="L10" s="167"/>
      <c r="M10" s="168"/>
      <c r="N10" s="3"/>
      <c r="O10" s="6" t="s">
        <v>23</v>
      </c>
      <c r="P10" s="148"/>
      <c r="Q10" s="148"/>
      <c r="R10" s="3"/>
      <c r="S10" s="160">
        <v>2</v>
      </c>
      <c r="T10" s="160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</row>
    <row r="11" spans="2:72" s="1" customFormat="1" ht="17.25" customHeight="1" x14ac:dyDescent="0.2">
      <c r="B11" s="161">
        <v>1</v>
      </c>
      <c r="C11" s="161"/>
      <c r="D11" s="162"/>
      <c r="E11" s="163"/>
      <c r="F11" s="163"/>
      <c r="G11" s="163"/>
      <c r="H11" s="163"/>
      <c r="I11" s="163"/>
      <c r="J11" s="163"/>
      <c r="K11" s="163"/>
      <c r="L11" s="119"/>
      <c r="M11" s="122"/>
      <c r="N11" s="3"/>
      <c r="O11" s="6" t="s">
        <v>24</v>
      </c>
      <c r="P11" s="148"/>
      <c r="Q11" s="148"/>
      <c r="R11" s="3"/>
      <c r="S11" s="160">
        <v>3</v>
      </c>
      <c r="T11" s="160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</row>
    <row r="12" spans="2:72" s="1" customFormat="1" ht="17.25" customHeight="1" x14ac:dyDescent="0.2">
      <c r="B12" s="174">
        <v>2</v>
      </c>
      <c r="C12" s="174"/>
      <c r="D12" s="162"/>
      <c r="E12" s="163"/>
      <c r="F12" s="163"/>
      <c r="G12" s="163"/>
      <c r="H12" s="163"/>
      <c r="I12" s="163"/>
      <c r="J12" s="163"/>
      <c r="K12" s="163"/>
      <c r="L12" s="120"/>
      <c r="M12" s="123"/>
      <c r="N12" s="3"/>
      <c r="O12" s="6" t="s">
        <v>25</v>
      </c>
      <c r="P12" s="148"/>
      <c r="Q12" s="148"/>
      <c r="R12" s="3"/>
      <c r="S12" s="160">
        <v>4</v>
      </c>
      <c r="T12" s="160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</row>
    <row r="13" spans="2:72" s="1" customFormat="1" ht="17.25" customHeight="1" x14ac:dyDescent="0.2">
      <c r="B13" s="175">
        <f t="shared" ref="B13:B19" si="0">B12+1</f>
        <v>3</v>
      </c>
      <c r="C13" s="175"/>
      <c r="D13" s="170"/>
      <c r="E13" s="170"/>
      <c r="F13" s="170"/>
      <c r="G13" s="170"/>
      <c r="H13" s="170"/>
      <c r="I13" s="170"/>
      <c r="J13" s="170"/>
      <c r="K13" s="170"/>
      <c r="L13" s="11"/>
      <c r="M13" s="12"/>
      <c r="N13" s="3"/>
      <c r="O13" s="6" t="s">
        <v>26</v>
      </c>
      <c r="P13" s="148"/>
      <c r="Q13" s="148"/>
      <c r="R13" s="3"/>
      <c r="S13" s="160">
        <v>5</v>
      </c>
      <c r="T13" s="160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</row>
    <row r="14" spans="2:72" s="1" customFormat="1" ht="17.25" customHeight="1" x14ac:dyDescent="0.2">
      <c r="B14" s="169">
        <f t="shared" si="0"/>
        <v>4</v>
      </c>
      <c r="C14" s="169"/>
      <c r="D14" s="170"/>
      <c r="E14" s="170"/>
      <c r="F14" s="170"/>
      <c r="G14" s="170"/>
      <c r="H14" s="170"/>
      <c r="I14" s="170"/>
      <c r="J14" s="170"/>
      <c r="K14" s="170"/>
      <c r="L14" s="11"/>
      <c r="M14" s="12"/>
      <c r="N14" s="3"/>
      <c r="O14" s="6" t="s">
        <v>27</v>
      </c>
      <c r="P14" s="171"/>
      <c r="Q14" s="172"/>
      <c r="R14" s="3"/>
      <c r="S14" s="160">
        <v>6</v>
      </c>
      <c r="T14" s="160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</row>
    <row r="15" spans="2:72" s="1" customFormat="1" ht="17.25" customHeight="1" x14ac:dyDescent="0.2">
      <c r="B15" s="173">
        <f t="shared" si="0"/>
        <v>5</v>
      </c>
      <c r="C15" s="173"/>
      <c r="D15" s="170"/>
      <c r="E15" s="170"/>
      <c r="F15" s="170"/>
      <c r="G15" s="170"/>
      <c r="H15" s="170"/>
      <c r="I15" s="170"/>
      <c r="J15" s="170"/>
      <c r="K15" s="170"/>
      <c r="L15" s="11"/>
      <c r="M15" s="12"/>
      <c r="N15" s="3"/>
      <c r="O15" s="6" t="s">
        <v>28</v>
      </c>
      <c r="P15" s="148"/>
      <c r="Q15" s="148"/>
      <c r="R15" s="3"/>
      <c r="S15" s="160">
        <v>7</v>
      </c>
      <c r="T15" s="160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spans="2:72" s="1" customFormat="1" ht="17.25" customHeight="1" x14ac:dyDescent="0.2">
      <c r="B16" s="180">
        <f t="shared" si="0"/>
        <v>6</v>
      </c>
      <c r="C16" s="180"/>
      <c r="D16" s="181"/>
      <c r="E16" s="170"/>
      <c r="F16" s="170"/>
      <c r="G16" s="170"/>
      <c r="H16" s="170"/>
      <c r="I16" s="170"/>
      <c r="J16" s="170"/>
      <c r="K16" s="170"/>
      <c r="L16" s="11"/>
      <c r="M16" s="12"/>
      <c r="N16" s="3"/>
      <c r="O16" s="6" t="s">
        <v>29</v>
      </c>
      <c r="P16" s="148"/>
      <c r="Q16" s="148"/>
      <c r="R16" s="3"/>
      <c r="S16" s="160">
        <v>8</v>
      </c>
      <c r="T16" s="160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</row>
    <row r="17" spans="1:73" s="1" customFormat="1" ht="17.25" customHeight="1" x14ac:dyDescent="0.2">
      <c r="B17" s="182">
        <f t="shared" si="0"/>
        <v>7</v>
      </c>
      <c r="C17" s="182"/>
      <c r="D17" s="170"/>
      <c r="E17" s="177"/>
      <c r="F17" s="177"/>
      <c r="G17" s="177"/>
      <c r="H17" s="177"/>
      <c r="I17" s="177"/>
      <c r="J17" s="177"/>
      <c r="K17" s="178"/>
      <c r="L17" s="11"/>
      <c r="M17" s="12"/>
      <c r="N17" s="3"/>
      <c r="O17" s="6" t="s">
        <v>30</v>
      </c>
      <c r="P17" s="148"/>
      <c r="Q17" s="148"/>
      <c r="R17" s="3"/>
      <c r="S17" s="160">
        <v>9</v>
      </c>
      <c r="T17" s="160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</row>
    <row r="18" spans="1:73" s="1" customFormat="1" ht="17.25" customHeight="1" x14ac:dyDescent="0.2">
      <c r="B18" s="176">
        <f t="shared" si="0"/>
        <v>8</v>
      </c>
      <c r="C18" s="176"/>
      <c r="D18" s="170"/>
      <c r="E18" s="177"/>
      <c r="F18" s="177"/>
      <c r="G18" s="177"/>
      <c r="H18" s="177"/>
      <c r="I18" s="177"/>
      <c r="J18" s="177"/>
      <c r="K18" s="178"/>
      <c r="L18" s="13"/>
      <c r="M18" s="12"/>
      <c r="N18" s="3"/>
      <c r="O18" s="6" t="s">
        <v>31</v>
      </c>
      <c r="P18" s="148"/>
      <c r="Q18" s="148"/>
      <c r="R18" s="3"/>
      <c r="S18" s="160">
        <v>10</v>
      </c>
      <c r="T18" s="160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</row>
    <row r="19" spans="1:73" s="1" customFormat="1" ht="17.25" customHeight="1" x14ac:dyDescent="0.2">
      <c r="B19" s="179">
        <f t="shared" si="0"/>
        <v>9</v>
      </c>
      <c r="C19" s="179"/>
      <c r="D19" s="170"/>
      <c r="E19" s="170"/>
      <c r="F19" s="170"/>
      <c r="G19" s="170"/>
      <c r="H19" s="170"/>
      <c r="I19" s="170"/>
      <c r="J19" s="170"/>
      <c r="K19" s="170"/>
      <c r="L19" s="11"/>
      <c r="M19" s="12"/>
      <c r="N19" s="3"/>
      <c r="O19" s="6" t="s">
        <v>32</v>
      </c>
      <c r="P19" s="148"/>
      <c r="Q19" s="148"/>
      <c r="R19" s="3"/>
      <c r="S19" s="160">
        <v>11</v>
      </c>
      <c r="T19" s="160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</row>
    <row r="20" spans="1:73" s="1" customFormat="1" ht="17.25" customHeight="1" x14ac:dyDescent="0.2">
      <c r="B20" s="189">
        <v>10</v>
      </c>
      <c r="C20" s="189"/>
      <c r="D20" s="170"/>
      <c r="E20" s="170"/>
      <c r="F20" s="170"/>
      <c r="G20" s="170"/>
      <c r="H20" s="170"/>
      <c r="I20" s="170"/>
      <c r="J20" s="170"/>
      <c r="K20" s="170"/>
      <c r="L20" s="14"/>
      <c r="M20" s="15"/>
      <c r="N20" s="3"/>
      <c r="O20" s="7"/>
      <c r="P20" s="8"/>
      <c r="Q20" s="9"/>
      <c r="R20" s="3"/>
      <c r="S20" s="16"/>
      <c r="T20" s="17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</row>
    <row r="21" spans="1:73" s="1" customFormat="1" ht="17.25" customHeight="1" x14ac:dyDescent="0.2">
      <c r="B21" s="190">
        <v>11</v>
      </c>
      <c r="C21" s="190"/>
      <c r="D21" s="170"/>
      <c r="E21" s="170"/>
      <c r="F21" s="170"/>
      <c r="G21" s="170"/>
      <c r="H21" s="170"/>
      <c r="I21" s="170"/>
      <c r="J21" s="170"/>
      <c r="K21" s="170"/>
      <c r="L21" s="14"/>
      <c r="M21" s="15"/>
      <c r="N21" s="3"/>
      <c r="O21" s="7"/>
      <c r="P21" s="8"/>
      <c r="Q21" s="9"/>
      <c r="R21" s="3"/>
      <c r="S21" s="16"/>
      <c r="T21" s="17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</row>
    <row r="22" spans="1:73" s="1" customFormat="1" ht="17.25" customHeight="1" x14ac:dyDescent="0.2">
      <c r="B22" s="191">
        <v>12</v>
      </c>
      <c r="C22" s="191"/>
      <c r="D22" s="170"/>
      <c r="E22" s="170"/>
      <c r="F22" s="170"/>
      <c r="G22" s="170"/>
      <c r="H22" s="170"/>
      <c r="I22" s="170"/>
      <c r="J22" s="170"/>
      <c r="K22" s="170"/>
      <c r="L22" s="14"/>
      <c r="M22" s="15"/>
      <c r="N22" s="3"/>
      <c r="O22" s="7"/>
      <c r="P22" s="8"/>
      <c r="Q22" s="9"/>
      <c r="R22" s="3"/>
      <c r="S22" s="16"/>
      <c r="T22" s="17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</row>
    <row r="23" spans="1:73" s="1" customFormat="1" ht="17.25" customHeight="1" thickBot="1" x14ac:dyDescent="0.25">
      <c r="B23" s="183">
        <v>13</v>
      </c>
      <c r="C23" s="183"/>
      <c r="D23" s="184"/>
      <c r="E23" s="184"/>
      <c r="F23" s="184"/>
      <c r="G23" s="184"/>
      <c r="H23" s="184"/>
      <c r="I23" s="184"/>
      <c r="J23" s="184"/>
      <c r="K23" s="184"/>
      <c r="L23" s="18"/>
      <c r="M23" s="19"/>
      <c r="N23" s="3"/>
      <c r="O23" s="10" t="s">
        <v>33</v>
      </c>
      <c r="P23" s="154"/>
      <c r="Q23" s="154"/>
      <c r="R23" s="3"/>
      <c r="S23" s="185">
        <v>12</v>
      </c>
      <c r="T23" s="185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</row>
    <row r="24" spans="1:73" s="1" customFormat="1" ht="8.25" customHeight="1" thickBot="1" x14ac:dyDescent="0.25">
      <c r="C24" s="2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</row>
    <row r="25" spans="1:73" s="1" customFormat="1" ht="46.5" customHeight="1" x14ac:dyDescent="0.2">
      <c r="B25" s="186" t="s">
        <v>34</v>
      </c>
      <c r="C25" s="187"/>
      <c r="D25" s="188" t="s">
        <v>35</v>
      </c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</row>
    <row r="26" spans="1:73" s="1" customFormat="1" ht="65.25" customHeight="1" thickBot="1" x14ac:dyDescent="0.25">
      <c r="A26"/>
      <c r="B26" s="20" t="s">
        <v>36</v>
      </c>
      <c r="C26" s="198" t="s">
        <v>37</v>
      </c>
      <c r="D26" s="199"/>
      <c r="E26" s="200"/>
      <c r="F26" s="121" t="s">
        <v>38</v>
      </c>
      <c r="G26" s="21" t="s">
        <v>39</v>
      </c>
      <c r="H26" s="198" t="s">
        <v>40</v>
      </c>
      <c r="I26" s="199"/>
      <c r="J26" s="200"/>
      <c r="K26" s="198" t="s">
        <v>41</v>
      </c>
      <c r="L26" s="199"/>
      <c r="M26" s="200"/>
      <c r="N26" s="21" t="s">
        <v>42</v>
      </c>
      <c r="O26" s="21" t="s">
        <v>43</v>
      </c>
      <c r="P26" s="21" t="s">
        <v>44</v>
      </c>
      <c r="Q26" s="21" t="s">
        <v>45</v>
      </c>
      <c r="R26" s="198" t="s">
        <v>46</v>
      </c>
      <c r="S26" s="199"/>
      <c r="T26" s="200"/>
      <c r="U26" s="22" t="s">
        <v>47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</row>
    <row r="27" spans="1:73" s="1" customFormat="1" ht="16.5" customHeight="1" x14ac:dyDescent="0.2">
      <c r="A27"/>
      <c r="B27" s="127">
        <v>1</v>
      </c>
      <c r="C27" s="201"/>
      <c r="D27" s="202"/>
      <c r="E27" s="203"/>
      <c r="F27" s="125"/>
      <c r="G27" s="125"/>
      <c r="H27" s="193"/>
      <c r="I27" s="193"/>
      <c r="J27" s="195"/>
      <c r="K27" s="196"/>
      <c r="L27" s="197"/>
      <c r="M27" s="197"/>
      <c r="N27" s="24"/>
      <c r="O27" s="24"/>
      <c r="P27" s="24"/>
      <c r="Q27" s="24"/>
      <c r="R27" s="197"/>
      <c r="S27" s="197"/>
      <c r="T27" s="197"/>
      <c r="U27" s="25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</row>
    <row r="28" spans="1:73" s="1" customFormat="1" ht="16.5" customHeight="1" x14ac:dyDescent="0.2">
      <c r="A28"/>
      <c r="B28" s="127">
        <v>1</v>
      </c>
      <c r="C28" s="192"/>
      <c r="D28" s="193"/>
      <c r="E28" s="194"/>
      <c r="F28" s="126"/>
      <c r="G28" s="126"/>
      <c r="H28" s="193"/>
      <c r="I28" s="193"/>
      <c r="J28" s="195"/>
      <c r="K28" s="196"/>
      <c r="L28" s="197"/>
      <c r="M28" s="197"/>
      <c r="N28" s="24"/>
      <c r="O28" s="24"/>
      <c r="P28" s="24"/>
      <c r="Q28" s="24"/>
      <c r="R28" s="197"/>
      <c r="S28" s="197"/>
      <c r="T28" s="197"/>
      <c r="U28" s="25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</row>
    <row r="29" spans="1:73" s="1" customFormat="1" ht="16.5" customHeight="1" x14ac:dyDescent="0.2">
      <c r="A29"/>
      <c r="B29" s="127">
        <v>1</v>
      </c>
      <c r="C29" s="192"/>
      <c r="D29" s="193"/>
      <c r="E29" s="194"/>
      <c r="F29" s="126"/>
      <c r="G29" s="126"/>
      <c r="H29" s="193"/>
      <c r="I29" s="193"/>
      <c r="J29" s="195"/>
      <c r="K29" s="196"/>
      <c r="L29" s="197"/>
      <c r="M29" s="197"/>
      <c r="N29" s="24"/>
      <c r="O29" s="24"/>
      <c r="P29" s="24"/>
      <c r="Q29" s="24"/>
      <c r="R29" s="197"/>
      <c r="S29" s="197"/>
      <c r="T29" s="197"/>
      <c r="U29" s="25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</row>
    <row r="30" spans="1:73" s="1" customFormat="1" ht="16.5" customHeight="1" thickBot="1" x14ac:dyDescent="0.25">
      <c r="A30"/>
      <c r="B30" s="127">
        <v>1</v>
      </c>
      <c r="C30" s="205"/>
      <c r="D30" s="206"/>
      <c r="E30" s="207"/>
      <c r="F30" s="27"/>
      <c r="G30" s="126"/>
      <c r="H30" s="197"/>
      <c r="I30" s="197"/>
      <c r="J30" s="197"/>
      <c r="K30" s="196"/>
      <c r="L30" s="197"/>
      <c r="M30" s="197"/>
      <c r="N30" s="24"/>
      <c r="O30" s="24"/>
      <c r="P30" s="24"/>
      <c r="Q30" s="24"/>
      <c r="R30" s="197"/>
      <c r="S30" s="197"/>
      <c r="T30" s="197"/>
      <c r="U30" s="25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</row>
    <row r="31" spans="1:73" s="1" customFormat="1" ht="16.5" customHeight="1" x14ac:dyDescent="0.2">
      <c r="A31"/>
      <c r="B31" s="128">
        <v>2</v>
      </c>
      <c r="C31" s="201"/>
      <c r="D31" s="202"/>
      <c r="E31" s="203"/>
      <c r="F31" s="125"/>
      <c r="G31" s="125"/>
      <c r="H31" s="193"/>
      <c r="I31" s="193"/>
      <c r="J31" s="204"/>
      <c r="K31" s="197"/>
      <c r="L31" s="197"/>
      <c r="M31" s="197"/>
      <c r="N31" s="24"/>
      <c r="O31" s="24"/>
      <c r="P31" s="24"/>
      <c r="Q31" s="27"/>
      <c r="R31" s="197"/>
      <c r="S31" s="197"/>
      <c r="T31" s="197"/>
      <c r="U31" s="25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</row>
    <row r="32" spans="1:73" s="1" customFormat="1" ht="16.5" customHeight="1" x14ac:dyDescent="0.2">
      <c r="A32"/>
      <c r="B32" s="128">
        <v>2</v>
      </c>
      <c r="C32" s="192"/>
      <c r="D32" s="193"/>
      <c r="E32" s="194"/>
      <c r="F32" s="126"/>
      <c r="G32" s="126"/>
      <c r="H32" s="193"/>
      <c r="I32" s="193"/>
      <c r="J32" s="204"/>
      <c r="K32" s="197"/>
      <c r="L32" s="197"/>
      <c r="M32" s="197"/>
      <c r="N32" s="24"/>
      <c r="O32" s="24"/>
      <c r="P32" s="24"/>
      <c r="Q32" s="27"/>
      <c r="R32" s="197"/>
      <c r="S32" s="197"/>
      <c r="T32" s="197"/>
      <c r="U32" s="25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</row>
    <row r="33" spans="1:73" s="1" customFormat="1" ht="16.5" customHeight="1" x14ac:dyDescent="0.2">
      <c r="A33"/>
      <c r="B33" s="128">
        <v>2</v>
      </c>
      <c r="C33" s="192"/>
      <c r="D33" s="193"/>
      <c r="E33" s="194"/>
      <c r="F33" s="126"/>
      <c r="G33" s="126"/>
      <c r="H33" s="193"/>
      <c r="I33" s="193"/>
      <c r="J33" s="204"/>
      <c r="K33" s="197"/>
      <c r="L33" s="197"/>
      <c r="M33" s="197"/>
      <c r="N33" s="24"/>
      <c r="O33" s="24"/>
      <c r="P33" s="24"/>
      <c r="Q33" s="27"/>
      <c r="R33" s="197"/>
      <c r="S33" s="197"/>
      <c r="T33" s="197"/>
      <c r="U33" s="25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</row>
    <row r="34" spans="1:73" s="1" customFormat="1" ht="16.5" customHeight="1" thickBot="1" x14ac:dyDescent="0.25">
      <c r="A34"/>
      <c r="B34" s="128">
        <v>2</v>
      </c>
      <c r="C34" s="208"/>
      <c r="D34" s="209"/>
      <c r="E34" s="210"/>
      <c r="F34" s="126"/>
      <c r="G34" s="126"/>
      <c r="H34" s="193"/>
      <c r="I34" s="193"/>
      <c r="J34" s="195"/>
      <c r="K34" s="197"/>
      <c r="L34" s="197"/>
      <c r="M34" s="197"/>
      <c r="N34" s="24"/>
      <c r="O34" s="24"/>
      <c r="P34" s="24"/>
      <c r="Q34" s="27"/>
      <c r="R34" s="197"/>
      <c r="S34" s="197"/>
      <c r="T34" s="197"/>
      <c r="U34" s="25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</row>
    <row r="35" spans="1:73" s="1" customFormat="1" ht="16.5" customHeight="1" x14ac:dyDescent="0.2">
      <c r="A35"/>
      <c r="B35" s="26">
        <v>2</v>
      </c>
      <c r="C35" s="211"/>
      <c r="D35" s="211"/>
      <c r="E35" s="211"/>
      <c r="F35" s="27"/>
      <c r="G35" s="24"/>
      <c r="H35" s="197"/>
      <c r="I35" s="197"/>
      <c r="J35" s="197"/>
      <c r="K35" s="197"/>
      <c r="L35" s="197"/>
      <c r="M35" s="197"/>
      <c r="N35" s="24"/>
      <c r="O35" s="24"/>
      <c r="P35" s="24"/>
      <c r="Q35" s="27"/>
      <c r="R35" s="197"/>
      <c r="S35" s="197"/>
      <c r="T35" s="197"/>
      <c r="U35" s="25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</row>
    <row r="36" spans="1:73" s="1" customFormat="1" ht="16.5" customHeight="1" thickBot="1" x14ac:dyDescent="0.25">
      <c r="A36"/>
      <c r="B36" s="26">
        <v>2</v>
      </c>
      <c r="C36" s="206"/>
      <c r="D36" s="206"/>
      <c r="E36" s="206"/>
      <c r="F36" s="27"/>
      <c r="G36" s="24"/>
      <c r="H36" s="197"/>
      <c r="I36" s="197"/>
      <c r="J36" s="197"/>
      <c r="K36" s="197"/>
      <c r="L36" s="197"/>
      <c r="M36" s="197"/>
      <c r="N36" s="24"/>
      <c r="O36" s="24"/>
      <c r="P36" s="24"/>
      <c r="Q36" s="27"/>
      <c r="R36" s="197"/>
      <c r="S36" s="197"/>
      <c r="T36" s="197"/>
      <c r="U36" s="25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</row>
    <row r="37" spans="1:73" s="29" customFormat="1" ht="16.5" customHeight="1" x14ac:dyDescent="0.2">
      <c r="A37"/>
      <c r="B37" s="129">
        <v>3</v>
      </c>
      <c r="C37" s="201"/>
      <c r="D37" s="202"/>
      <c r="E37" s="203"/>
      <c r="F37" s="125"/>
      <c r="G37" s="125"/>
      <c r="H37" s="193"/>
      <c r="I37" s="193"/>
      <c r="J37" s="195"/>
      <c r="K37" s="197"/>
      <c r="L37" s="197"/>
      <c r="M37" s="197"/>
      <c r="N37" s="24"/>
      <c r="O37" s="24"/>
      <c r="P37" s="24"/>
      <c r="Q37" s="27"/>
      <c r="R37" s="197"/>
      <c r="S37" s="197"/>
      <c r="T37" s="197"/>
      <c r="U37" s="25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</row>
    <row r="38" spans="1:73" s="1" customFormat="1" ht="16.5" customHeight="1" x14ac:dyDescent="0.2">
      <c r="A38"/>
      <c r="B38" s="129">
        <v>3</v>
      </c>
      <c r="C38" s="192"/>
      <c r="D38" s="193"/>
      <c r="E38" s="194"/>
      <c r="F38" s="126"/>
      <c r="G38" s="126"/>
      <c r="H38" s="193"/>
      <c r="I38" s="193"/>
      <c r="J38" s="195"/>
      <c r="K38" s="197"/>
      <c r="L38" s="197"/>
      <c r="M38" s="197"/>
      <c r="N38" s="24"/>
      <c r="O38" s="24"/>
      <c r="P38" s="24"/>
      <c r="Q38" s="27"/>
      <c r="R38" s="197"/>
      <c r="S38" s="197"/>
      <c r="T38" s="197"/>
      <c r="U38" s="25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</row>
    <row r="39" spans="1:73" s="1" customFormat="1" ht="16.5" customHeight="1" x14ac:dyDescent="0.2">
      <c r="A39"/>
      <c r="B39" s="129">
        <v>3</v>
      </c>
      <c r="C39" s="221"/>
      <c r="D39" s="222"/>
      <c r="E39" s="223"/>
      <c r="F39" s="126"/>
      <c r="G39" s="126"/>
      <c r="H39" s="193"/>
      <c r="I39" s="193"/>
      <c r="J39" s="195"/>
      <c r="K39" s="197"/>
      <c r="L39" s="197"/>
      <c r="M39" s="197"/>
      <c r="N39" s="24"/>
      <c r="O39" s="24"/>
      <c r="P39" s="24"/>
      <c r="Q39" s="27"/>
      <c r="R39" s="197"/>
      <c r="S39" s="197"/>
      <c r="T39" s="197"/>
      <c r="U39" s="25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</row>
    <row r="40" spans="1:73" s="1" customFormat="1" ht="16.5" customHeight="1" x14ac:dyDescent="0.2">
      <c r="A40"/>
      <c r="B40" s="129">
        <v>3</v>
      </c>
      <c r="C40" s="212"/>
      <c r="D40" s="213"/>
      <c r="E40" s="214"/>
      <c r="F40" s="126"/>
      <c r="G40" s="126"/>
      <c r="H40" s="193"/>
      <c r="I40" s="193"/>
      <c r="J40" s="195"/>
      <c r="K40" s="197"/>
      <c r="L40" s="197"/>
      <c r="M40" s="197"/>
      <c r="N40" s="24"/>
      <c r="O40" s="24"/>
      <c r="P40" s="24"/>
      <c r="Q40" s="27"/>
      <c r="R40" s="197"/>
      <c r="S40" s="197"/>
      <c r="T40" s="197"/>
      <c r="U40" s="25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</row>
    <row r="41" spans="1:73" s="1" customFormat="1" ht="16.5" customHeight="1" x14ac:dyDescent="0.2">
      <c r="A41"/>
      <c r="B41" s="129">
        <v>3</v>
      </c>
      <c r="C41" s="215"/>
      <c r="D41" s="216"/>
      <c r="E41" s="217"/>
      <c r="F41" s="126"/>
      <c r="G41" s="126"/>
      <c r="H41" s="147"/>
      <c r="I41" s="147"/>
      <c r="J41" s="125"/>
      <c r="K41" s="218"/>
      <c r="L41" s="219"/>
      <c r="M41" s="220"/>
      <c r="N41" s="24"/>
      <c r="O41" s="24"/>
      <c r="P41" s="24"/>
      <c r="Q41" s="27"/>
      <c r="R41" s="197"/>
      <c r="S41" s="197"/>
      <c r="T41" s="197"/>
      <c r="U41" s="25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</row>
    <row r="42" spans="1:73" s="1" customFormat="1" ht="16.5" customHeight="1" x14ac:dyDescent="0.2">
      <c r="A42"/>
      <c r="B42" s="129">
        <v>3</v>
      </c>
      <c r="C42" s="215"/>
      <c r="D42" s="216"/>
      <c r="E42" s="217"/>
      <c r="F42" s="126"/>
      <c r="G42" s="126"/>
      <c r="H42" s="147"/>
      <c r="I42" s="147"/>
      <c r="J42" s="125"/>
      <c r="K42" s="218"/>
      <c r="L42" s="219"/>
      <c r="M42" s="220"/>
      <c r="N42" s="24"/>
      <c r="O42" s="24"/>
      <c r="P42" s="24"/>
      <c r="Q42" s="27"/>
      <c r="R42" s="197"/>
      <c r="S42" s="197"/>
      <c r="T42" s="197"/>
      <c r="U42" s="25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</row>
    <row r="43" spans="1:73" s="1" customFormat="1" ht="16.5" customHeight="1" x14ac:dyDescent="0.2">
      <c r="A43"/>
      <c r="B43" s="129">
        <v>3</v>
      </c>
      <c r="C43" s="215"/>
      <c r="D43" s="216"/>
      <c r="E43" s="217"/>
      <c r="F43" s="126"/>
      <c r="G43" s="126"/>
      <c r="H43" s="147"/>
      <c r="I43" s="147"/>
      <c r="J43" s="125"/>
      <c r="K43" s="218"/>
      <c r="L43" s="219"/>
      <c r="M43" s="220"/>
      <c r="N43" s="24"/>
      <c r="O43" s="24"/>
      <c r="P43" s="24"/>
      <c r="Q43" s="27"/>
      <c r="R43" s="197"/>
      <c r="S43" s="197"/>
      <c r="T43" s="197"/>
      <c r="U43" s="25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</row>
    <row r="44" spans="1:73" s="1" customFormat="1" ht="16.5" customHeight="1" x14ac:dyDescent="0.2">
      <c r="A44"/>
      <c r="B44" s="129">
        <v>3</v>
      </c>
      <c r="C44" s="224"/>
      <c r="D44" s="225"/>
      <c r="E44" s="226"/>
      <c r="F44" s="126"/>
      <c r="G44" s="126"/>
      <c r="H44" s="147"/>
      <c r="I44" s="147"/>
      <c r="J44" s="125"/>
      <c r="K44" s="218"/>
      <c r="L44" s="219"/>
      <c r="M44" s="220"/>
      <c r="N44" s="24"/>
      <c r="O44" s="24"/>
      <c r="P44" s="24"/>
      <c r="Q44" s="27"/>
      <c r="R44" s="197"/>
      <c r="S44" s="197"/>
      <c r="T44" s="197"/>
      <c r="U44" s="25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</row>
    <row r="45" spans="1:73" s="1" customFormat="1" ht="16.5" customHeight="1" x14ac:dyDescent="0.2">
      <c r="A45"/>
      <c r="B45" s="130">
        <v>4</v>
      </c>
      <c r="C45" s="227"/>
      <c r="D45" s="228"/>
      <c r="E45" s="229"/>
      <c r="F45" s="125"/>
      <c r="G45" s="125"/>
      <c r="H45" s="193"/>
      <c r="I45" s="193"/>
      <c r="J45" s="195"/>
      <c r="K45" s="197"/>
      <c r="L45" s="197"/>
      <c r="M45" s="197"/>
      <c r="N45" s="24"/>
      <c r="O45" s="24"/>
      <c r="P45" s="24"/>
      <c r="Q45" s="27"/>
      <c r="R45" s="197"/>
      <c r="S45" s="197"/>
      <c r="T45" s="197"/>
      <c r="U45" s="25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</row>
    <row r="46" spans="1:73" s="1" customFormat="1" ht="16.5" customHeight="1" x14ac:dyDescent="0.2">
      <c r="A46"/>
      <c r="B46" s="130">
        <v>4</v>
      </c>
      <c r="C46" s="192"/>
      <c r="D46" s="193"/>
      <c r="E46" s="194"/>
      <c r="F46" s="126"/>
      <c r="G46" s="126"/>
      <c r="H46" s="193"/>
      <c r="I46" s="193"/>
      <c r="J46" s="195"/>
      <c r="K46" s="197"/>
      <c r="L46" s="197"/>
      <c r="M46" s="197"/>
      <c r="N46" s="24"/>
      <c r="O46" s="24"/>
      <c r="P46" s="24"/>
      <c r="Q46" s="27"/>
      <c r="R46" s="197"/>
      <c r="S46" s="197"/>
      <c r="T46" s="197"/>
      <c r="U46" s="25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</row>
    <row r="47" spans="1:73" s="1" customFormat="1" ht="16.5" customHeight="1" x14ac:dyDescent="0.2">
      <c r="A47"/>
      <c r="B47" s="130">
        <v>4</v>
      </c>
      <c r="C47" s="192"/>
      <c r="D47" s="193"/>
      <c r="E47" s="194"/>
      <c r="F47" s="126"/>
      <c r="G47" s="126"/>
      <c r="H47" s="193"/>
      <c r="I47" s="193"/>
      <c r="J47" s="195"/>
      <c r="K47" s="197"/>
      <c r="L47" s="197"/>
      <c r="M47" s="197"/>
      <c r="N47" s="24"/>
      <c r="O47" s="24"/>
      <c r="P47" s="24"/>
      <c r="Q47" s="27"/>
      <c r="R47" s="197"/>
      <c r="S47" s="197"/>
      <c r="T47" s="197"/>
      <c r="U47" s="25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</row>
    <row r="48" spans="1:73" s="1" customFormat="1" ht="16.5" customHeight="1" thickBot="1" x14ac:dyDescent="0.25">
      <c r="A48"/>
      <c r="B48" s="130">
        <v>4</v>
      </c>
      <c r="C48" s="221"/>
      <c r="D48" s="222"/>
      <c r="E48" s="223"/>
      <c r="F48" s="126"/>
      <c r="G48" s="126"/>
      <c r="H48" s="193"/>
      <c r="I48" s="193"/>
      <c r="J48" s="195"/>
      <c r="K48" s="197"/>
      <c r="L48" s="197"/>
      <c r="M48" s="197"/>
      <c r="N48" s="24"/>
      <c r="O48" s="24"/>
      <c r="P48" s="24"/>
      <c r="Q48" s="27"/>
      <c r="R48" s="197"/>
      <c r="S48" s="197"/>
      <c r="T48" s="197"/>
      <c r="U48" s="25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</row>
    <row r="49" spans="1:73" s="29" customFormat="1" ht="16.5" customHeight="1" x14ac:dyDescent="0.2">
      <c r="A49"/>
      <c r="B49" s="131">
        <v>5</v>
      </c>
      <c r="C49" s="201"/>
      <c r="D49" s="202"/>
      <c r="E49" s="203"/>
      <c r="F49" s="125"/>
      <c r="G49" s="125"/>
      <c r="H49" s="197"/>
      <c r="I49" s="197"/>
      <c r="J49" s="197"/>
      <c r="K49" s="197"/>
      <c r="L49" s="197"/>
      <c r="M49" s="197"/>
      <c r="N49" s="24"/>
      <c r="O49" s="24"/>
      <c r="P49" s="24"/>
      <c r="Q49" s="27"/>
      <c r="R49" s="197"/>
      <c r="S49" s="197"/>
      <c r="T49" s="197"/>
      <c r="U49" s="25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</row>
    <row r="50" spans="1:73" s="1" customFormat="1" ht="16.5" customHeight="1" x14ac:dyDescent="0.2">
      <c r="A50"/>
      <c r="B50" s="131">
        <v>5</v>
      </c>
      <c r="C50" s="192"/>
      <c r="D50" s="193"/>
      <c r="E50" s="194"/>
      <c r="F50" s="126"/>
      <c r="G50" s="126"/>
      <c r="H50" s="197"/>
      <c r="I50" s="197"/>
      <c r="J50" s="197"/>
      <c r="K50" s="197"/>
      <c r="L50" s="197"/>
      <c r="M50" s="197"/>
      <c r="N50" s="24"/>
      <c r="O50" s="24"/>
      <c r="P50" s="24"/>
      <c r="Q50" s="27"/>
      <c r="R50" s="197"/>
      <c r="S50" s="197"/>
      <c r="T50" s="197"/>
      <c r="U50" s="25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</row>
    <row r="51" spans="1:73" s="1" customFormat="1" ht="16.5" customHeight="1" thickBot="1" x14ac:dyDescent="0.25">
      <c r="A51"/>
      <c r="B51" s="131">
        <v>5</v>
      </c>
      <c r="C51" s="205"/>
      <c r="D51" s="206"/>
      <c r="E51" s="207"/>
      <c r="F51" s="124"/>
      <c r="G51" s="126"/>
      <c r="H51" s="197"/>
      <c r="I51" s="197"/>
      <c r="J51" s="197"/>
      <c r="K51" s="197"/>
      <c r="L51" s="197"/>
      <c r="M51" s="197"/>
      <c r="N51" s="24"/>
      <c r="O51" s="24"/>
      <c r="P51" s="24"/>
      <c r="Q51" s="27"/>
      <c r="R51" s="197"/>
      <c r="S51" s="197"/>
      <c r="T51" s="197"/>
      <c r="U51" s="25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</row>
    <row r="52" spans="1:73" s="1" customFormat="1" ht="16.5" customHeight="1" x14ac:dyDescent="0.2">
      <c r="A52"/>
      <c r="B52" s="132">
        <v>6</v>
      </c>
      <c r="C52" s="201"/>
      <c r="D52" s="202"/>
      <c r="E52" s="203"/>
      <c r="F52" s="125"/>
      <c r="G52" s="125"/>
      <c r="H52" s="197"/>
      <c r="I52" s="197"/>
      <c r="J52" s="197"/>
      <c r="K52" s="197"/>
      <c r="L52" s="197"/>
      <c r="M52" s="197"/>
      <c r="N52" s="24"/>
      <c r="O52" s="24"/>
      <c r="P52" s="24"/>
      <c r="Q52" s="27"/>
      <c r="R52" s="197"/>
      <c r="S52" s="197"/>
      <c r="T52" s="197"/>
      <c r="U52" s="25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</row>
    <row r="53" spans="1:73" s="1" customFormat="1" ht="16.5" customHeight="1" x14ac:dyDescent="0.2">
      <c r="A53"/>
      <c r="B53" s="132">
        <v>6</v>
      </c>
      <c r="C53" s="192"/>
      <c r="D53" s="193"/>
      <c r="E53" s="194"/>
      <c r="F53" s="126"/>
      <c r="G53" s="126"/>
      <c r="H53" s="197"/>
      <c r="I53" s="197"/>
      <c r="J53" s="197"/>
      <c r="K53" s="197"/>
      <c r="L53" s="197"/>
      <c r="M53" s="197"/>
      <c r="N53" s="24"/>
      <c r="O53" s="24"/>
      <c r="P53" s="24"/>
      <c r="Q53" s="27"/>
      <c r="R53" s="197"/>
      <c r="S53" s="197"/>
      <c r="T53" s="197"/>
      <c r="U53" s="25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</row>
    <row r="54" spans="1:73" s="1" customFormat="1" ht="16.5" customHeight="1" x14ac:dyDescent="0.2">
      <c r="A54"/>
      <c r="B54" s="132">
        <v>6</v>
      </c>
      <c r="C54" s="233"/>
      <c r="D54" s="197"/>
      <c r="E54" s="234"/>
      <c r="F54" s="124"/>
      <c r="G54" s="126"/>
      <c r="H54" s="197"/>
      <c r="I54" s="197"/>
      <c r="J54" s="197"/>
      <c r="K54" s="197"/>
      <c r="L54" s="197"/>
      <c r="M54" s="197"/>
      <c r="N54" s="24"/>
      <c r="O54" s="24"/>
      <c r="P54" s="24"/>
      <c r="Q54" s="27"/>
      <c r="R54" s="197"/>
      <c r="S54" s="197"/>
      <c r="T54" s="197"/>
      <c r="U54" s="25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</row>
    <row r="55" spans="1:73" s="1" customFormat="1" ht="16.5" customHeight="1" thickBot="1" x14ac:dyDescent="0.25">
      <c r="A55"/>
      <c r="B55" s="132">
        <v>6</v>
      </c>
      <c r="C55" s="205"/>
      <c r="D55" s="206"/>
      <c r="E55" s="207"/>
      <c r="F55" s="124"/>
      <c r="G55" s="24"/>
      <c r="H55" s="197"/>
      <c r="I55" s="197"/>
      <c r="J55" s="197"/>
      <c r="K55" s="197"/>
      <c r="L55" s="197"/>
      <c r="M55" s="197"/>
      <c r="N55" s="24"/>
      <c r="O55" s="24"/>
      <c r="P55" s="24"/>
      <c r="Q55" s="27"/>
      <c r="R55" s="197"/>
      <c r="S55" s="197"/>
      <c r="T55" s="197"/>
      <c r="U55" s="25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</row>
    <row r="56" spans="1:73" s="1" customFormat="1" ht="16.5" customHeight="1" x14ac:dyDescent="0.2">
      <c r="A56"/>
      <c r="B56" s="133">
        <v>7</v>
      </c>
      <c r="C56" s="230"/>
      <c r="D56" s="231"/>
      <c r="E56" s="232"/>
      <c r="F56" s="124"/>
      <c r="G56" s="126"/>
      <c r="H56" s="197"/>
      <c r="I56" s="197"/>
      <c r="J56" s="197"/>
      <c r="K56" s="197"/>
      <c r="L56" s="197"/>
      <c r="M56" s="197"/>
      <c r="N56" s="24"/>
      <c r="O56" s="24"/>
      <c r="P56" s="24"/>
      <c r="Q56" s="27"/>
      <c r="R56" s="197"/>
      <c r="S56" s="197"/>
      <c r="T56" s="197"/>
      <c r="U56" s="25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</row>
    <row r="57" spans="1:73" s="1" customFormat="1" ht="16.5" customHeight="1" x14ac:dyDescent="0.2">
      <c r="A57"/>
      <c r="B57" s="133">
        <v>7</v>
      </c>
      <c r="C57" s="233"/>
      <c r="D57" s="197"/>
      <c r="E57" s="234"/>
      <c r="F57" s="124"/>
      <c r="G57" s="126"/>
      <c r="H57" s="197"/>
      <c r="I57" s="197"/>
      <c r="J57" s="197"/>
      <c r="K57" s="197"/>
      <c r="L57" s="197"/>
      <c r="M57" s="197"/>
      <c r="N57" s="24"/>
      <c r="O57" s="24"/>
      <c r="P57" s="24"/>
      <c r="Q57" s="27"/>
      <c r="R57" s="197"/>
      <c r="S57" s="197"/>
      <c r="T57" s="197"/>
      <c r="U57" s="25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</row>
    <row r="58" spans="1:73" s="1" customFormat="1" ht="16.5" customHeight="1" x14ac:dyDescent="0.2">
      <c r="A58"/>
      <c r="B58" s="133">
        <v>7</v>
      </c>
      <c r="C58" s="233"/>
      <c r="D58" s="197"/>
      <c r="E58" s="234"/>
      <c r="F58" s="124"/>
      <c r="G58" s="126"/>
      <c r="H58" s="197"/>
      <c r="I58" s="197"/>
      <c r="J58" s="197"/>
      <c r="K58" s="197"/>
      <c r="L58" s="197"/>
      <c r="M58" s="197"/>
      <c r="N58" s="24"/>
      <c r="O58" s="24"/>
      <c r="P58" s="24"/>
      <c r="Q58" s="27"/>
      <c r="R58" s="197"/>
      <c r="S58" s="197"/>
      <c r="T58" s="197"/>
      <c r="U58" s="25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</row>
    <row r="59" spans="1:73" s="1" customFormat="1" ht="16.5" customHeight="1" thickBot="1" x14ac:dyDescent="0.25">
      <c r="A59"/>
      <c r="B59" s="133">
        <v>7</v>
      </c>
      <c r="C59" s="205"/>
      <c r="D59" s="206"/>
      <c r="E59" s="207"/>
      <c r="F59" s="124"/>
      <c r="G59" s="126"/>
      <c r="H59" s="197"/>
      <c r="I59" s="197"/>
      <c r="J59" s="197"/>
      <c r="K59" s="197"/>
      <c r="L59" s="197"/>
      <c r="M59" s="197"/>
      <c r="N59" s="24"/>
      <c r="O59" s="24"/>
      <c r="P59" s="24"/>
      <c r="Q59" s="27"/>
      <c r="R59" s="197"/>
      <c r="S59" s="197"/>
      <c r="T59" s="197"/>
      <c r="U59" s="25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</row>
    <row r="60" spans="1:73" s="1" customFormat="1" ht="16.5" customHeight="1" x14ac:dyDescent="0.2">
      <c r="A60"/>
      <c r="B60" s="134">
        <v>8</v>
      </c>
      <c r="C60" s="230"/>
      <c r="D60" s="231"/>
      <c r="E60" s="232"/>
      <c r="F60" s="124"/>
      <c r="G60" s="126"/>
      <c r="H60" s="197"/>
      <c r="I60" s="197"/>
      <c r="J60" s="197"/>
      <c r="K60" s="197"/>
      <c r="L60" s="197"/>
      <c r="M60" s="197"/>
      <c r="N60" s="24"/>
      <c r="O60" s="24"/>
      <c r="P60" s="24"/>
      <c r="Q60" s="27"/>
      <c r="R60" s="197"/>
      <c r="S60" s="197"/>
      <c r="T60" s="197"/>
      <c r="U60" s="25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</row>
    <row r="61" spans="1:73" s="1" customFormat="1" ht="16.5" customHeight="1" x14ac:dyDescent="0.2">
      <c r="A61"/>
      <c r="B61" s="134">
        <v>8</v>
      </c>
      <c r="C61" s="233"/>
      <c r="D61" s="197"/>
      <c r="E61" s="234"/>
      <c r="F61" s="124"/>
      <c r="G61" s="126"/>
      <c r="H61" s="197"/>
      <c r="I61" s="197"/>
      <c r="J61" s="197"/>
      <c r="K61" s="197"/>
      <c r="L61" s="197"/>
      <c r="M61" s="197"/>
      <c r="N61" s="24"/>
      <c r="O61" s="24"/>
      <c r="P61" s="24"/>
      <c r="Q61" s="27"/>
      <c r="R61" s="197"/>
      <c r="S61" s="197"/>
      <c r="T61" s="197"/>
      <c r="U61" s="25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</row>
    <row r="62" spans="1:73" s="1" customFormat="1" ht="16.5" customHeight="1" x14ac:dyDescent="0.2">
      <c r="A62"/>
      <c r="B62" s="134">
        <v>8</v>
      </c>
      <c r="C62" s="233"/>
      <c r="D62" s="197"/>
      <c r="E62" s="234"/>
      <c r="F62" s="124"/>
      <c r="G62" s="126"/>
      <c r="H62" s="197"/>
      <c r="I62" s="197"/>
      <c r="J62" s="197"/>
      <c r="K62" s="197"/>
      <c r="L62" s="197"/>
      <c r="M62" s="197"/>
      <c r="N62" s="24"/>
      <c r="O62" s="24"/>
      <c r="P62" s="24"/>
      <c r="Q62" s="27"/>
      <c r="R62" s="197"/>
      <c r="S62" s="197"/>
      <c r="T62" s="197"/>
      <c r="U62" s="25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</row>
    <row r="63" spans="1:73" s="1" customFormat="1" ht="16.5" customHeight="1" thickBot="1" x14ac:dyDescent="0.25">
      <c r="A63"/>
      <c r="B63" s="134">
        <v>8</v>
      </c>
      <c r="C63" s="205"/>
      <c r="D63" s="206"/>
      <c r="E63" s="207"/>
      <c r="F63" s="124"/>
      <c r="G63" s="126"/>
      <c r="H63" s="197"/>
      <c r="I63" s="197"/>
      <c r="J63" s="197"/>
      <c r="K63" s="197"/>
      <c r="L63" s="197"/>
      <c r="M63" s="197"/>
      <c r="N63" s="24"/>
      <c r="O63" s="24"/>
      <c r="P63" s="24"/>
      <c r="Q63" s="27"/>
      <c r="R63" s="197"/>
      <c r="S63" s="197"/>
      <c r="T63" s="197"/>
      <c r="U63" s="25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</row>
    <row r="64" spans="1:73" s="1" customFormat="1" ht="16.5" customHeight="1" x14ac:dyDescent="0.2">
      <c r="A64"/>
      <c r="B64" s="135">
        <v>9</v>
      </c>
      <c r="C64" s="136"/>
      <c r="D64" s="137"/>
      <c r="E64" s="138"/>
      <c r="F64" s="118"/>
      <c r="G64" s="126"/>
      <c r="H64" s="218"/>
      <c r="I64" s="219"/>
      <c r="J64" s="220"/>
      <c r="K64" s="197"/>
      <c r="L64" s="197"/>
      <c r="M64" s="197"/>
      <c r="N64" s="24"/>
      <c r="O64" s="24"/>
      <c r="P64" s="24"/>
      <c r="Q64" s="27"/>
      <c r="R64" s="197"/>
      <c r="S64" s="197"/>
      <c r="T64" s="197"/>
      <c r="U64" s="25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</row>
    <row r="65" spans="1:73" s="1" customFormat="1" ht="16.5" customHeight="1" x14ac:dyDescent="0.2">
      <c r="A65"/>
      <c r="B65" s="135">
        <v>9</v>
      </c>
      <c r="C65" s="139"/>
      <c r="D65" s="117"/>
      <c r="E65" s="140"/>
      <c r="F65" s="118"/>
      <c r="G65" s="126"/>
      <c r="H65" s="218"/>
      <c r="I65" s="219"/>
      <c r="J65" s="220"/>
      <c r="K65" s="197"/>
      <c r="L65" s="197"/>
      <c r="M65" s="197"/>
      <c r="N65" s="24"/>
      <c r="O65" s="24"/>
      <c r="P65" s="24"/>
      <c r="Q65" s="27"/>
      <c r="R65" s="197"/>
      <c r="S65" s="197"/>
      <c r="T65" s="197"/>
      <c r="U65" s="25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</row>
    <row r="66" spans="1:73" s="1" customFormat="1" ht="16.5" customHeight="1" thickBot="1" x14ac:dyDescent="0.25">
      <c r="A66"/>
      <c r="B66" s="135">
        <v>9</v>
      </c>
      <c r="C66" s="142"/>
      <c r="D66" s="143"/>
      <c r="E66" s="144"/>
      <c r="F66" s="118"/>
      <c r="G66" s="126"/>
      <c r="H66" s="218"/>
      <c r="I66" s="219"/>
      <c r="J66" s="220"/>
      <c r="K66" s="197"/>
      <c r="L66" s="197"/>
      <c r="M66" s="197"/>
      <c r="N66" s="24"/>
      <c r="O66" s="24"/>
      <c r="P66" s="24"/>
      <c r="Q66" s="27"/>
      <c r="R66" s="197"/>
      <c r="S66" s="197"/>
      <c r="T66" s="197"/>
      <c r="U66" s="25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</row>
    <row r="67" spans="1:73" s="1" customFormat="1" ht="16.5" customHeight="1" x14ac:dyDescent="0.2">
      <c r="A67"/>
      <c r="B67" s="141">
        <v>10</v>
      </c>
      <c r="C67" s="230"/>
      <c r="D67" s="231"/>
      <c r="E67" s="232"/>
      <c r="F67" s="124"/>
      <c r="G67" s="126"/>
      <c r="H67" s="197"/>
      <c r="I67" s="197"/>
      <c r="J67" s="197"/>
      <c r="K67" s="197"/>
      <c r="L67" s="197"/>
      <c r="M67" s="197"/>
      <c r="N67" s="24"/>
      <c r="O67" s="24"/>
      <c r="P67" s="24"/>
      <c r="Q67" s="27"/>
      <c r="R67" s="197"/>
      <c r="S67" s="197"/>
      <c r="T67" s="197"/>
      <c r="U67" s="25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</row>
    <row r="68" spans="1:73" s="1" customFormat="1" ht="16.5" customHeight="1" thickBot="1" x14ac:dyDescent="0.25">
      <c r="A68"/>
      <c r="B68" s="141">
        <v>10</v>
      </c>
      <c r="C68" s="205"/>
      <c r="D68" s="206"/>
      <c r="E68" s="207"/>
      <c r="F68" s="124"/>
      <c r="G68" s="126"/>
      <c r="H68" s="197"/>
      <c r="I68" s="197"/>
      <c r="J68" s="197"/>
      <c r="K68" s="197"/>
      <c r="L68" s="197"/>
      <c r="M68" s="197"/>
      <c r="N68" s="24"/>
      <c r="O68" s="24"/>
      <c r="P68" s="24"/>
      <c r="Q68" s="27"/>
      <c r="R68" s="197"/>
      <c r="S68" s="197"/>
      <c r="T68" s="197"/>
      <c r="U68" s="25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</row>
    <row r="69" spans="1:73" s="1" customFormat="1" ht="16.5" customHeight="1" thickBot="1" x14ac:dyDescent="0.25">
      <c r="A69"/>
      <c r="B69" s="145">
        <v>11</v>
      </c>
      <c r="C69" s="235"/>
      <c r="D69" s="236"/>
      <c r="E69" s="237"/>
      <c r="F69" s="124"/>
      <c r="G69" s="126"/>
      <c r="H69" s="197"/>
      <c r="I69" s="197"/>
      <c r="J69" s="197"/>
      <c r="K69" s="197"/>
      <c r="L69" s="197"/>
      <c r="M69" s="197"/>
      <c r="N69" s="24"/>
      <c r="O69" s="24"/>
      <c r="P69" s="24"/>
      <c r="Q69" s="27"/>
      <c r="R69" s="197"/>
      <c r="S69" s="197"/>
      <c r="T69" s="197"/>
      <c r="U69" s="25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</row>
    <row r="70" spans="1:73" s="29" customFormat="1" ht="16.5" customHeight="1" thickBot="1" x14ac:dyDescent="0.25">
      <c r="A70"/>
      <c r="B70" s="146">
        <v>12</v>
      </c>
      <c r="C70" s="235"/>
      <c r="D70" s="236"/>
      <c r="E70" s="237"/>
      <c r="F70" s="124"/>
      <c r="G70" s="126"/>
      <c r="H70" s="197"/>
      <c r="I70" s="197"/>
      <c r="J70" s="197"/>
      <c r="K70" s="197"/>
      <c r="L70" s="197"/>
      <c r="M70" s="197"/>
      <c r="N70" s="24"/>
      <c r="O70" s="24"/>
      <c r="P70" s="24"/>
      <c r="Q70" s="27"/>
      <c r="R70" s="197"/>
      <c r="S70" s="197"/>
      <c r="T70" s="197"/>
      <c r="U70" s="25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</row>
    <row r="71" spans="1:73" s="1" customFormat="1" ht="16.5" customHeight="1" thickBot="1" x14ac:dyDescent="0.25">
      <c r="B71" s="135">
        <v>13</v>
      </c>
      <c r="C71" s="238"/>
      <c r="D71" s="239"/>
      <c r="E71" s="240"/>
      <c r="F71" s="124"/>
      <c r="G71" s="126"/>
      <c r="H71" s="197"/>
      <c r="I71" s="197"/>
      <c r="J71" s="197"/>
      <c r="K71" s="197"/>
      <c r="L71" s="197"/>
      <c r="M71" s="197"/>
      <c r="N71" s="24"/>
      <c r="O71" s="24"/>
      <c r="P71" s="24"/>
      <c r="Q71" s="27"/>
      <c r="R71" s="197"/>
      <c r="S71" s="197"/>
      <c r="T71" s="197"/>
      <c r="U71" s="25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</row>
    <row r="72" spans="1:73" s="1" customFormat="1" ht="16.5" customHeight="1" x14ac:dyDescent="0.2">
      <c r="B72" s="34"/>
      <c r="C72" s="211"/>
      <c r="D72" s="211"/>
      <c r="E72" s="211"/>
      <c r="F72" s="27"/>
      <c r="G72" s="24"/>
      <c r="H72" s="197"/>
      <c r="I72" s="197"/>
      <c r="J72" s="197"/>
      <c r="K72" s="197"/>
      <c r="L72" s="197"/>
      <c r="M72" s="197"/>
      <c r="N72" s="24"/>
      <c r="O72" s="24"/>
      <c r="P72" s="24"/>
      <c r="Q72" s="27"/>
      <c r="R72" s="197"/>
      <c r="S72" s="197"/>
      <c r="T72" s="197"/>
      <c r="U72" s="25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</row>
    <row r="73" spans="1:73" s="1" customFormat="1" ht="16.5" customHeight="1" x14ac:dyDescent="0.2">
      <c r="J73" s="197"/>
      <c r="K73" s="197"/>
      <c r="L73" s="197"/>
      <c r="M73" s="24"/>
      <c r="N73" s="24"/>
      <c r="O73" s="24"/>
      <c r="P73" s="27"/>
      <c r="Q73" s="197"/>
      <c r="R73" s="197"/>
      <c r="S73" s="197"/>
      <c r="T73" s="25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</row>
    <row r="74" spans="1:73" s="1" customFormat="1" ht="23.25" customHeight="1" x14ac:dyDescent="0.2">
      <c r="C74" s="2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</row>
    <row r="75" spans="1:73" s="1" customFormat="1" ht="23.25" customHeight="1" x14ac:dyDescent="0.2">
      <c r="C75" s="2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</row>
    <row r="76" spans="1:73" s="1" customFormat="1" ht="23.25" customHeight="1" thickBot="1" x14ac:dyDescent="0.25">
      <c r="C76" s="2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</row>
    <row r="77" spans="1:73" s="1" customFormat="1" ht="42" customHeight="1" x14ac:dyDescent="0.2">
      <c r="B77" s="34">
        <v>9</v>
      </c>
      <c r="C77" s="248" t="s">
        <v>48</v>
      </c>
      <c r="D77" s="249"/>
      <c r="E77" s="250"/>
      <c r="F77" s="37"/>
      <c r="G77" s="37"/>
      <c r="H77" s="37"/>
      <c r="I77" s="37"/>
      <c r="J77" s="37"/>
      <c r="K77" s="37"/>
      <c r="L77" s="38"/>
      <c r="M77" s="39"/>
      <c r="N77" s="39"/>
      <c r="O77" s="39"/>
      <c r="P77" s="39"/>
      <c r="Q77" s="39"/>
      <c r="R77" s="39"/>
      <c r="S77" s="39"/>
      <c r="T77" s="39"/>
      <c r="U77" s="116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</row>
    <row r="78" spans="1:73" ht="38.25" customHeight="1" x14ac:dyDescent="0.2">
      <c r="B78" s="36">
        <v>10</v>
      </c>
      <c r="C78" s="40"/>
      <c r="D78" s="40" t="s">
        <v>49</v>
      </c>
      <c r="E78" s="40"/>
      <c r="F78" s="40" t="s">
        <v>50</v>
      </c>
      <c r="G78" s="40"/>
      <c r="H78" s="40" t="s">
        <v>51</v>
      </c>
      <c r="I78" s="40"/>
      <c r="J78" s="40"/>
      <c r="K78" s="40" t="s">
        <v>52</v>
      </c>
      <c r="L78" s="41"/>
      <c r="M78" s="3"/>
      <c r="N78" s="3"/>
      <c r="O78" s="3"/>
      <c r="P78" s="3"/>
    </row>
    <row r="79" spans="1:73" ht="21" customHeight="1" thickBot="1" x14ac:dyDescent="0.25">
      <c r="B79" s="42" t="s">
        <v>53</v>
      </c>
      <c r="C79" s="43" t="s">
        <v>54</v>
      </c>
      <c r="D79" s="43" t="s">
        <v>55</v>
      </c>
      <c r="E79" s="43" t="s">
        <v>56</v>
      </c>
      <c r="F79" s="43" t="s">
        <v>57</v>
      </c>
      <c r="G79" s="43" t="s">
        <v>58</v>
      </c>
      <c r="H79" s="43" t="s">
        <v>57</v>
      </c>
      <c r="I79" s="43" t="s">
        <v>59</v>
      </c>
      <c r="J79" s="43" t="s">
        <v>58</v>
      </c>
      <c r="K79" s="43" t="s">
        <v>60</v>
      </c>
      <c r="L79" s="44" t="s">
        <v>61</v>
      </c>
      <c r="M79" s="3"/>
      <c r="N79" s="3"/>
      <c r="O79" s="3"/>
      <c r="P79" s="3"/>
    </row>
    <row r="80" spans="1:73" ht="23.25" customHeight="1" x14ac:dyDescent="0.2">
      <c r="B80" s="45">
        <v>1</v>
      </c>
      <c r="C80" s="46">
        <v>45019</v>
      </c>
      <c r="D80" s="47"/>
      <c r="E80" s="47"/>
      <c r="F80" s="48"/>
      <c r="G80" s="48"/>
      <c r="H80" s="47"/>
      <c r="I80" s="47"/>
      <c r="J80" s="47"/>
      <c r="K80" s="48"/>
      <c r="L80" s="49"/>
      <c r="M80" s="3"/>
      <c r="N80" s="3"/>
      <c r="O80" s="3"/>
      <c r="P80" s="3"/>
    </row>
    <row r="81" spans="2:72" ht="23.25" customHeight="1" x14ac:dyDescent="0.2">
      <c r="B81" s="50">
        <v>2</v>
      </c>
      <c r="C81" s="51">
        <v>45026</v>
      </c>
      <c r="D81" s="52"/>
      <c r="E81" s="52"/>
      <c r="F81" s="53"/>
      <c r="G81" s="53"/>
      <c r="H81" s="52"/>
      <c r="I81" s="52"/>
      <c r="J81" s="52"/>
      <c r="K81" s="53"/>
      <c r="L81" s="54"/>
      <c r="M81" s="3"/>
      <c r="N81" s="3"/>
      <c r="O81" s="3"/>
      <c r="P81" s="3"/>
    </row>
    <row r="82" spans="2:72" ht="23.25" customHeight="1" x14ac:dyDescent="0.2">
      <c r="B82" s="50">
        <v>3</v>
      </c>
      <c r="C82" s="51">
        <f t="shared" ref="C82:C131" si="1">C81+7</f>
        <v>45033</v>
      </c>
      <c r="D82" s="52"/>
      <c r="E82" s="52"/>
      <c r="F82" s="53"/>
      <c r="G82" s="53"/>
      <c r="H82" s="52"/>
      <c r="I82" s="52"/>
      <c r="J82" s="52"/>
      <c r="K82" s="53"/>
      <c r="L82" s="54"/>
      <c r="M82" s="3"/>
      <c r="N82" s="3"/>
      <c r="O82" s="3"/>
      <c r="P82" s="3"/>
    </row>
    <row r="83" spans="2:72" ht="23.25" customHeight="1" x14ac:dyDescent="0.2">
      <c r="B83" s="50">
        <v>4</v>
      </c>
      <c r="C83" s="51">
        <f t="shared" si="1"/>
        <v>45040</v>
      </c>
      <c r="D83" s="52"/>
      <c r="E83" s="52"/>
      <c r="F83" s="53"/>
      <c r="G83" s="53"/>
      <c r="H83" s="52"/>
      <c r="I83" s="52"/>
      <c r="J83" s="52"/>
      <c r="K83" s="53"/>
      <c r="L83" s="54"/>
      <c r="M83" s="3"/>
      <c r="N83" s="3"/>
      <c r="O83" s="3"/>
      <c r="P83" s="3"/>
    </row>
    <row r="84" spans="2:72" ht="23.25" customHeight="1" x14ac:dyDescent="0.2">
      <c r="B84" s="50">
        <v>5</v>
      </c>
      <c r="C84" s="51">
        <f t="shared" si="1"/>
        <v>45047</v>
      </c>
      <c r="D84" s="52"/>
      <c r="E84" s="52"/>
      <c r="F84" s="53"/>
      <c r="G84" s="53"/>
      <c r="H84" s="52"/>
      <c r="I84" s="52"/>
      <c r="J84" s="52"/>
      <c r="K84" s="53"/>
      <c r="L84" s="54"/>
      <c r="M84" s="3"/>
      <c r="N84" s="3"/>
      <c r="O84" s="3"/>
      <c r="P84" s="3"/>
    </row>
    <row r="85" spans="2:72" ht="23.25" customHeight="1" x14ac:dyDescent="0.2">
      <c r="B85" s="50">
        <v>6</v>
      </c>
      <c r="C85" s="51">
        <f t="shared" si="1"/>
        <v>45054</v>
      </c>
      <c r="D85" s="52"/>
      <c r="E85" s="52"/>
      <c r="F85" s="53"/>
      <c r="G85" s="53"/>
      <c r="H85" s="52"/>
      <c r="I85" s="52"/>
      <c r="J85" s="52"/>
      <c r="K85" s="53"/>
      <c r="L85" s="54"/>
      <c r="M85" s="3"/>
      <c r="N85" s="3"/>
      <c r="O85" s="3"/>
      <c r="P85" s="3"/>
    </row>
    <row r="86" spans="2:72" ht="23.25" customHeight="1" x14ac:dyDescent="0.2">
      <c r="B86" s="50">
        <v>7</v>
      </c>
      <c r="C86" s="51">
        <f t="shared" si="1"/>
        <v>45061</v>
      </c>
      <c r="D86" s="52"/>
      <c r="E86" s="52"/>
      <c r="F86" s="53"/>
      <c r="G86" s="53"/>
      <c r="H86" s="52"/>
      <c r="I86" s="52"/>
      <c r="J86" s="52"/>
      <c r="K86" s="53"/>
      <c r="L86" s="54"/>
      <c r="M86" s="3"/>
      <c r="N86" s="3"/>
      <c r="O86" s="3"/>
      <c r="P86" s="3"/>
    </row>
    <row r="87" spans="2:72" ht="23.25" customHeight="1" x14ac:dyDescent="0.2">
      <c r="B87" s="50">
        <v>8</v>
      </c>
      <c r="C87" s="51">
        <f t="shared" si="1"/>
        <v>45068</v>
      </c>
      <c r="D87" s="52"/>
      <c r="E87" s="52"/>
      <c r="F87" s="53"/>
      <c r="G87" s="53"/>
      <c r="H87" s="52"/>
      <c r="J87" s="52"/>
      <c r="K87" s="53"/>
      <c r="L87" s="54"/>
      <c r="M87" s="3"/>
      <c r="N87" s="3"/>
      <c r="O87" s="3"/>
      <c r="P87" s="3"/>
    </row>
    <row r="88" spans="2:72" ht="23.25" customHeight="1" thickBot="1" x14ac:dyDescent="0.25">
      <c r="B88" s="50">
        <v>9</v>
      </c>
      <c r="C88" s="51">
        <f t="shared" si="1"/>
        <v>45075</v>
      </c>
      <c r="D88" s="52"/>
      <c r="E88" s="52"/>
      <c r="F88" s="53"/>
      <c r="G88" s="53"/>
      <c r="H88" s="52"/>
      <c r="I88" s="52"/>
      <c r="J88" s="52"/>
      <c r="K88" s="53"/>
      <c r="L88" s="54"/>
      <c r="M88" s="3"/>
      <c r="N88" s="3"/>
      <c r="O88" s="3"/>
      <c r="P88" s="3"/>
    </row>
    <row r="89" spans="2:72" ht="23.25" customHeight="1" x14ac:dyDescent="0.2">
      <c r="B89" s="50">
        <v>10</v>
      </c>
      <c r="C89" s="51">
        <f t="shared" si="1"/>
        <v>45082</v>
      </c>
      <c r="D89" s="52"/>
      <c r="E89" s="52"/>
      <c r="F89" s="53"/>
      <c r="G89" s="53"/>
      <c r="H89" s="52"/>
      <c r="I89" s="52"/>
      <c r="J89" s="52"/>
      <c r="K89" s="53"/>
      <c r="L89" s="54"/>
      <c r="M89" s="3"/>
      <c r="N89" s="241" t="s">
        <v>62</v>
      </c>
      <c r="O89" s="242"/>
      <c r="P89" s="243"/>
    </row>
    <row r="90" spans="2:72" ht="23.25" customHeight="1" x14ac:dyDescent="0.2">
      <c r="B90" s="50">
        <v>11</v>
      </c>
      <c r="C90" s="51">
        <f t="shared" si="1"/>
        <v>45089</v>
      </c>
      <c r="D90" s="52"/>
      <c r="E90" s="52"/>
      <c r="F90" s="53"/>
      <c r="G90" s="53"/>
      <c r="H90" s="52"/>
      <c r="I90" s="52"/>
      <c r="J90" s="52"/>
      <c r="K90" s="53"/>
      <c r="L90" s="54"/>
      <c r="M90" s="3"/>
      <c r="N90" s="244" t="s">
        <v>63</v>
      </c>
      <c r="O90" s="245"/>
      <c r="P90" s="55">
        <f>SUM(D80:D93)</f>
        <v>0</v>
      </c>
    </row>
    <row r="91" spans="2:72" ht="23.25" customHeight="1" x14ac:dyDescent="0.2">
      <c r="B91" s="50">
        <v>12</v>
      </c>
      <c r="C91" s="51">
        <f t="shared" si="1"/>
        <v>45096</v>
      </c>
      <c r="D91" s="52"/>
      <c r="E91" s="52"/>
      <c r="F91" s="53"/>
      <c r="G91" s="53"/>
      <c r="H91" s="52"/>
      <c r="I91" s="52"/>
      <c r="J91" s="52"/>
      <c r="K91" s="53"/>
      <c r="L91" s="54"/>
      <c r="M91" s="3"/>
      <c r="N91" s="244" t="s">
        <v>64</v>
      </c>
      <c r="O91" s="245"/>
      <c r="P91" s="55">
        <f>SUM(G80:G93)</f>
        <v>0</v>
      </c>
    </row>
    <row r="92" spans="2:72" ht="23.25" customHeight="1" x14ac:dyDescent="0.2">
      <c r="B92" s="50">
        <v>13</v>
      </c>
      <c r="C92" s="51">
        <f t="shared" si="1"/>
        <v>45103</v>
      </c>
      <c r="D92" s="52"/>
      <c r="E92" s="52"/>
      <c r="F92" s="53"/>
      <c r="G92" s="53"/>
      <c r="H92" s="52"/>
      <c r="I92" s="52"/>
      <c r="J92" s="52"/>
      <c r="K92" s="53"/>
      <c r="L92" s="54"/>
      <c r="M92" s="3"/>
      <c r="N92" s="244" t="s">
        <v>65</v>
      </c>
      <c r="O92" s="245"/>
      <c r="P92" s="55">
        <f>SUM(J80:J93)</f>
        <v>0</v>
      </c>
    </row>
    <row r="93" spans="2:72" ht="23.25" customHeight="1" thickBot="1" x14ac:dyDescent="0.25">
      <c r="B93" s="56">
        <v>14</v>
      </c>
      <c r="C93" s="51">
        <f t="shared" si="1"/>
        <v>45110</v>
      </c>
      <c r="D93" s="57"/>
      <c r="E93" s="57"/>
      <c r="F93" s="58"/>
      <c r="G93" s="58"/>
      <c r="H93" s="57"/>
      <c r="I93" s="57"/>
      <c r="J93" s="57"/>
      <c r="K93" s="58"/>
      <c r="L93" s="59"/>
      <c r="M93" s="3"/>
      <c r="N93" s="246" t="s">
        <v>66</v>
      </c>
      <c r="O93" s="247"/>
      <c r="P93" s="60">
        <f>SUM(L80:L93)</f>
        <v>0</v>
      </c>
    </row>
    <row r="94" spans="2:72" ht="23.25" customHeight="1" x14ac:dyDescent="0.2">
      <c r="B94" s="45">
        <v>15</v>
      </c>
      <c r="C94" s="51">
        <f t="shared" si="1"/>
        <v>45117</v>
      </c>
      <c r="D94" s="47"/>
      <c r="E94" s="47"/>
      <c r="F94" s="48"/>
      <c r="G94" s="48"/>
      <c r="H94" s="47"/>
      <c r="I94" s="47"/>
      <c r="J94" s="47"/>
      <c r="K94" s="48"/>
      <c r="L94" s="49"/>
      <c r="M94" s="3"/>
      <c r="N94" s="3"/>
      <c r="O94" s="3"/>
      <c r="P94" s="3"/>
    </row>
    <row r="95" spans="2:72" s="1" customFormat="1" ht="23.25" customHeight="1" x14ac:dyDescent="0.2">
      <c r="B95" s="50">
        <v>16</v>
      </c>
      <c r="C95" s="51">
        <f t="shared" si="1"/>
        <v>45124</v>
      </c>
      <c r="D95" s="52"/>
      <c r="E95" s="52"/>
      <c r="F95" s="53"/>
      <c r="G95" s="53"/>
      <c r="H95" s="52"/>
      <c r="I95" s="52"/>
      <c r="J95" s="52"/>
      <c r="K95" s="53"/>
      <c r="L95" s="5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</row>
    <row r="96" spans="2:72" s="1" customFormat="1" ht="23.25" customHeight="1" x14ac:dyDescent="0.2">
      <c r="B96" s="50">
        <v>17</v>
      </c>
      <c r="C96" s="51">
        <f t="shared" si="1"/>
        <v>45131</v>
      </c>
      <c r="D96" s="52"/>
      <c r="E96" s="52"/>
      <c r="F96" s="53"/>
      <c r="G96" s="53"/>
      <c r="H96" s="52"/>
      <c r="I96" s="52"/>
      <c r="J96" s="52"/>
      <c r="K96" s="53"/>
      <c r="L96" s="5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</row>
    <row r="97" spans="2:72" s="1" customFormat="1" ht="23.25" customHeight="1" x14ac:dyDescent="0.2">
      <c r="B97" s="50">
        <v>18</v>
      </c>
      <c r="C97" s="51">
        <f t="shared" si="1"/>
        <v>45138</v>
      </c>
      <c r="D97" s="52"/>
      <c r="E97" s="52"/>
      <c r="F97" s="53"/>
      <c r="G97" s="53"/>
      <c r="H97" s="52"/>
      <c r="I97" s="52"/>
      <c r="J97" s="52"/>
      <c r="K97" s="53"/>
      <c r="L97" s="5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</row>
    <row r="98" spans="2:72" s="1" customFormat="1" ht="23.25" customHeight="1" x14ac:dyDescent="0.2">
      <c r="B98" s="50">
        <v>19</v>
      </c>
      <c r="C98" s="51">
        <f t="shared" si="1"/>
        <v>45145</v>
      </c>
      <c r="D98" s="52"/>
      <c r="E98" s="52"/>
      <c r="F98" s="53"/>
      <c r="G98" s="53"/>
      <c r="H98" s="52"/>
      <c r="I98" s="52"/>
      <c r="J98" s="52"/>
      <c r="K98" s="53"/>
      <c r="L98" s="5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</row>
    <row r="99" spans="2:72" s="1" customFormat="1" ht="23.25" customHeight="1" x14ac:dyDescent="0.2">
      <c r="B99" s="50">
        <v>20</v>
      </c>
      <c r="C99" s="51">
        <f t="shared" si="1"/>
        <v>45152</v>
      </c>
      <c r="D99" s="52"/>
      <c r="E99" s="52"/>
      <c r="F99" s="53"/>
      <c r="G99" s="53"/>
      <c r="H99" s="52"/>
      <c r="I99" s="52"/>
      <c r="J99" s="52"/>
      <c r="K99" s="53"/>
      <c r="L99" s="5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</row>
    <row r="100" spans="2:72" s="1" customFormat="1" ht="23.25" customHeight="1" x14ac:dyDescent="0.2">
      <c r="B100" s="50">
        <v>21</v>
      </c>
      <c r="C100" s="51">
        <f t="shared" si="1"/>
        <v>45159</v>
      </c>
      <c r="D100" s="52"/>
      <c r="E100" s="52"/>
      <c r="F100" s="53"/>
      <c r="G100" s="53"/>
      <c r="H100" s="52"/>
      <c r="I100" s="52"/>
      <c r="J100" s="52"/>
      <c r="K100" s="53"/>
      <c r="L100" s="5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</row>
    <row r="101" spans="2:72" s="1" customFormat="1" ht="23.25" customHeight="1" thickBot="1" x14ac:dyDescent="0.25">
      <c r="B101" s="50">
        <v>22</v>
      </c>
      <c r="C101" s="51">
        <f t="shared" si="1"/>
        <v>45166</v>
      </c>
      <c r="D101" s="52"/>
      <c r="E101" s="52"/>
      <c r="F101" s="53"/>
      <c r="G101" s="53"/>
      <c r="H101" s="52"/>
      <c r="I101" s="52"/>
      <c r="J101" s="52"/>
      <c r="K101" s="53"/>
      <c r="L101" s="54"/>
      <c r="M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</row>
    <row r="102" spans="2:72" s="1" customFormat="1" ht="23.25" customHeight="1" x14ac:dyDescent="0.2">
      <c r="B102" s="50">
        <v>23</v>
      </c>
      <c r="C102" s="51">
        <f t="shared" si="1"/>
        <v>45173</v>
      </c>
      <c r="D102" s="52"/>
      <c r="E102" s="52"/>
      <c r="F102" s="53"/>
      <c r="G102" s="53"/>
      <c r="H102" s="52"/>
      <c r="I102" s="52"/>
      <c r="J102" s="52"/>
      <c r="K102" s="53"/>
      <c r="L102" s="54"/>
      <c r="M102" s="3"/>
      <c r="N102" s="241" t="s">
        <v>67</v>
      </c>
      <c r="O102" s="242"/>
      <c r="P102" s="24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</row>
    <row r="103" spans="2:72" s="1" customFormat="1" ht="23.25" customHeight="1" x14ac:dyDescent="0.2">
      <c r="B103" s="50">
        <v>24</v>
      </c>
      <c r="C103" s="51">
        <f t="shared" si="1"/>
        <v>45180</v>
      </c>
      <c r="D103" s="52"/>
      <c r="E103" s="52"/>
      <c r="F103" s="53"/>
      <c r="G103" s="53"/>
      <c r="H103" s="52"/>
      <c r="I103" s="52"/>
      <c r="J103" s="52"/>
      <c r="K103" s="53"/>
      <c r="L103" s="54"/>
      <c r="M103" s="3"/>
      <c r="N103" s="244" t="s">
        <v>63</v>
      </c>
      <c r="O103" s="245"/>
      <c r="P103" s="55">
        <f>SUM(D94:D106)</f>
        <v>0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</row>
    <row r="104" spans="2:72" s="1" customFormat="1" ht="23.25" customHeight="1" x14ac:dyDescent="0.2">
      <c r="B104" s="50">
        <v>25</v>
      </c>
      <c r="C104" s="51">
        <f t="shared" si="1"/>
        <v>45187</v>
      </c>
      <c r="D104" s="52"/>
      <c r="E104" s="52"/>
      <c r="F104" s="53"/>
      <c r="G104" s="53"/>
      <c r="H104" s="52"/>
      <c r="I104" s="52"/>
      <c r="J104" s="52"/>
      <c r="K104" s="53"/>
      <c r="L104" s="54"/>
      <c r="M104" s="3"/>
      <c r="N104" s="244" t="s">
        <v>64</v>
      </c>
      <c r="O104" s="245"/>
      <c r="P104" s="55">
        <f>SUM(G94:G106)</f>
        <v>0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</row>
    <row r="105" spans="2:72" s="1" customFormat="1" ht="23.25" customHeight="1" x14ac:dyDescent="0.2">
      <c r="B105" s="50">
        <v>26</v>
      </c>
      <c r="C105" s="51">
        <f t="shared" si="1"/>
        <v>45194</v>
      </c>
      <c r="D105" s="52"/>
      <c r="E105" s="52"/>
      <c r="F105" s="53"/>
      <c r="G105" s="53"/>
      <c r="H105" s="52"/>
      <c r="I105" s="52"/>
      <c r="J105" s="52"/>
      <c r="K105" s="53"/>
      <c r="L105" s="54"/>
      <c r="M105" s="3"/>
      <c r="N105" s="244" t="s">
        <v>65</v>
      </c>
      <c r="O105" s="245"/>
      <c r="P105" s="55">
        <f>SUM(J94:J106)</f>
        <v>0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</row>
    <row r="106" spans="2:72" s="1" customFormat="1" ht="23.25" customHeight="1" thickBot="1" x14ac:dyDescent="0.25">
      <c r="B106" s="56">
        <v>27</v>
      </c>
      <c r="C106" s="51">
        <f t="shared" si="1"/>
        <v>45201</v>
      </c>
      <c r="D106" s="57"/>
      <c r="E106" s="57"/>
      <c r="F106" s="58"/>
      <c r="G106" s="58"/>
      <c r="H106" s="57"/>
      <c r="I106" s="57"/>
      <c r="J106" s="57"/>
      <c r="K106" s="58"/>
      <c r="L106" s="59"/>
      <c r="M106" s="3"/>
      <c r="N106" s="246" t="s">
        <v>66</v>
      </c>
      <c r="O106" s="247"/>
      <c r="P106" s="60">
        <f>SUM(L94:L106)</f>
        <v>0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</row>
    <row r="107" spans="2:72" s="1" customFormat="1" ht="23.25" customHeight="1" x14ac:dyDescent="0.2">
      <c r="B107" s="45">
        <v>28</v>
      </c>
      <c r="C107" s="51">
        <f t="shared" si="1"/>
        <v>45208</v>
      </c>
      <c r="D107" s="47"/>
      <c r="E107" s="47"/>
      <c r="F107" s="48"/>
      <c r="G107" s="48"/>
      <c r="H107" s="47"/>
      <c r="I107" s="47"/>
      <c r="J107" s="47"/>
      <c r="K107" s="48"/>
      <c r="L107" s="49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</row>
    <row r="108" spans="2:72" s="1" customFormat="1" ht="23.25" customHeight="1" x14ac:dyDescent="0.2">
      <c r="B108" s="50">
        <v>29</v>
      </c>
      <c r="C108" s="51">
        <f t="shared" si="1"/>
        <v>45215</v>
      </c>
      <c r="D108" s="52"/>
      <c r="E108" s="52"/>
      <c r="F108" s="53"/>
      <c r="G108" s="53"/>
      <c r="H108" s="52"/>
      <c r="I108" s="52"/>
      <c r="J108" s="52"/>
      <c r="K108" s="53"/>
      <c r="L108" s="5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</row>
    <row r="109" spans="2:72" s="1" customFormat="1" ht="23.25" customHeight="1" x14ac:dyDescent="0.2">
      <c r="B109" s="50">
        <v>30</v>
      </c>
      <c r="C109" s="51">
        <f t="shared" si="1"/>
        <v>45222</v>
      </c>
      <c r="D109" s="52"/>
      <c r="E109" s="52"/>
      <c r="F109" s="53"/>
      <c r="G109" s="53"/>
      <c r="H109" s="52"/>
      <c r="I109" s="52"/>
      <c r="J109" s="52"/>
      <c r="K109" s="53"/>
      <c r="L109" s="5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</row>
    <row r="110" spans="2:72" s="1" customFormat="1" ht="23.25" customHeight="1" x14ac:dyDescent="0.2">
      <c r="B110" s="50">
        <v>31</v>
      </c>
      <c r="C110" s="51">
        <f t="shared" si="1"/>
        <v>45229</v>
      </c>
      <c r="D110" s="52"/>
      <c r="E110" s="52"/>
      <c r="F110" s="53"/>
      <c r="G110" s="53"/>
      <c r="H110" s="52"/>
      <c r="I110" s="52"/>
      <c r="J110" s="52"/>
      <c r="K110" s="53"/>
      <c r="L110" s="5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</row>
    <row r="111" spans="2:72" s="1" customFormat="1" ht="23.25" customHeight="1" x14ac:dyDescent="0.2">
      <c r="B111" s="50">
        <v>32</v>
      </c>
      <c r="C111" s="51">
        <f t="shared" si="1"/>
        <v>45236</v>
      </c>
      <c r="D111" s="52"/>
      <c r="E111" s="52"/>
      <c r="F111" s="53"/>
      <c r="G111" s="53"/>
      <c r="H111" s="52"/>
      <c r="I111" s="52"/>
      <c r="J111" s="52"/>
      <c r="K111" s="53"/>
      <c r="L111" s="5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</row>
    <row r="112" spans="2:72" s="1" customFormat="1" ht="23.25" customHeight="1" x14ac:dyDescent="0.2">
      <c r="B112" s="50">
        <v>33</v>
      </c>
      <c r="C112" s="51">
        <f t="shared" si="1"/>
        <v>45243</v>
      </c>
      <c r="D112" s="52"/>
      <c r="E112" s="52"/>
      <c r="F112" s="53"/>
      <c r="G112" s="53"/>
      <c r="H112" s="52"/>
      <c r="I112" s="52"/>
      <c r="J112" s="52"/>
      <c r="K112" s="53"/>
      <c r="L112" s="5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</row>
    <row r="113" spans="2:72" s="1" customFormat="1" ht="23.25" customHeight="1" x14ac:dyDescent="0.2">
      <c r="B113" s="50">
        <v>34</v>
      </c>
      <c r="C113" s="51">
        <f t="shared" si="1"/>
        <v>45250</v>
      </c>
      <c r="D113" s="52"/>
      <c r="E113" s="52"/>
      <c r="F113" s="53"/>
      <c r="G113" s="53"/>
      <c r="H113" s="52"/>
      <c r="I113" s="52"/>
      <c r="J113" s="52"/>
      <c r="K113" s="53"/>
      <c r="L113" s="5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</row>
    <row r="114" spans="2:72" s="1" customFormat="1" ht="23.25" customHeight="1" thickBot="1" x14ac:dyDescent="0.25">
      <c r="B114" s="50">
        <v>35</v>
      </c>
      <c r="C114" s="51">
        <f t="shared" si="1"/>
        <v>45257</v>
      </c>
      <c r="D114" s="52"/>
      <c r="E114" s="52"/>
      <c r="F114" s="53"/>
      <c r="G114" s="53"/>
      <c r="H114" s="52"/>
      <c r="I114" s="52"/>
      <c r="J114" s="52"/>
      <c r="K114" s="53"/>
      <c r="L114" s="5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</row>
    <row r="115" spans="2:72" s="1" customFormat="1" ht="23.25" customHeight="1" x14ac:dyDescent="0.2">
      <c r="B115" s="50">
        <v>36</v>
      </c>
      <c r="C115" s="51">
        <f t="shared" si="1"/>
        <v>45264</v>
      </c>
      <c r="D115" s="52"/>
      <c r="E115" s="52"/>
      <c r="F115" s="53"/>
      <c r="G115" s="53"/>
      <c r="H115" s="52"/>
      <c r="I115" s="52"/>
      <c r="J115" s="52"/>
      <c r="K115" s="53"/>
      <c r="L115" s="54"/>
      <c r="M115" s="3"/>
      <c r="N115" s="241" t="s">
        <v>68</v>
      </c>
      <c r="O115" s="242"/>
      <c r="P115" s="24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</row>
    <row r="116" spans="2:72" s="1" customFormat="1" ht="23.25" customHeight="1" x14ac:dyDescent="0.2">
      <c r="B116" s="50">
        <v>37</v>
      </c>
      <c r="C116" s="51">
        <f t="shared" si="1"/>
        <v>45271</v>
      </c>
      <c r="D116" s="52"/>
      <c r="E116" s="52"/>
      <c r="F116" s="53"/>
      <c r="G116" s="53"/>
      <c r="H116" s="52"/>
      <c r="I116" s="52"/>
      <c r="J116" s="52"/>
      <c r="K116" s="53"/>
      <c r="L116" s="54"/>
      <c r="M116" s="3"/>
      <c r="N116" s="244" t="s">
        <v>63</v>
      </c>
      <c r="O116" s="245"/>
      <c r="P116" s="55">
        <f>SUM(D107:D119)</f>
        <v>0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</row>
    <row r="117" spans="2:72" s="1" customFormat="1" ht="23.25" customHeight="1" x14ac:dyDescent="0.2">
      <c r="B117" s="50">
        <v>38</v>
      </c>
      <c r="C117" s="51">
        <f t="shared" si="1"/>
        <v>45278</v>
      </c>
      <c r="D117" s="52"/>
      <c r="E117" s="52"/>
      <c r="F117" s="53"/>
      <c r="G117" s="53"/>
      <c r="H117" s="52"/>
      <c r="I117" s="52"/>
      <c r="J117" s="52"/>
      <c r="K117" s="53"/>
      <c r="L117" s="54"/>
      <c r="M117" s="3"/>
      <c r="N117" s="251" t="s">
        <v>64</v>
      </c>
      <c r="O117" s="252"/>
      <c r="P117" s="55">
        <f>SUM(G107:G119)</f>
        <v>0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</row>
    <row r="118" spans="2:72" s="1" customFormat="1" ht="23.25" customHeight="1" x14ac:dyDescent="0.2">
      <c r="B118" s="50">
        <v>39</v>
      </c>
      <c r="C118" s="51">
        <f t="shared" si="1"/>
        <v>45285</v>
      </c>
      <c r="D118" s="52"/>
      <c r="E118" s="52"/>
      <c r="F118" s="53"/>
      <c r="G118" s="53"/>
      <c r="H118" s="52"/>
      <c r="I118" s="52"/>
      <c r="J118" s="52"/>
      <c r="K118" s="53"/>
      <c r="L118" s="54"/>
      <c r="M118" s="3"/>
      <c r="N118" s="251" t="s">
        <v>65</v>
      </c>
      <c r="O118" s="252"/>
      <c r="P118" s="55">
        <f>SUM(J107:J119)</f>
        <v>0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</row>
    <row r="119" spans="2:72" s="1" customFormat="1" ht="23.25" customHeight="1" thickBot="1" x14ac:dyDescent="0.25">
      <c r="B119" s="56">
        <v>40</v>
      </c>
      <c r="C119" s="51">
        <f t="shared" si="1"/>
        <v>45292</v>
      </c>
      <c r="D119" s="57"/>
      <c r="E119" s="57"/>
      <c r="F119" s="58"/>
      <c r="G119" s="58"/>
      <c r="H119" s="57"/>
      <c r="I119" s="57"/>
      <c r="J119" s="57"/>
      <c r="K119" s="58"/>
      <c r="L119" s="59"/>
      <c r="M119" s="3"/>
      <c r="N119" s="253" t="s">
        <v>66</v>
      </c>
      <c r="O119" s="254"/>
      <c r="P119" s="60">
        <f>SUM(L107:L119)</f>
        <v>0</v>
      </c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</row>
    <row r="120" spans="2:72" s="1" customFormat="1" ht="23.25" customHeight="1" x14ac:dyDescent="0.2">
      <c r="B120" s="61">
        <v>41</v>
      </c>
      <c r="C120" s="51">
        <f t="shared" si="1"/>
        <v>45299</v>
      </c>
      <c r="D120" s="62"/>
      <c r="E120" s="62"/>
      <c r="F120" s="63"/>
      <c r="G120" s="63"/>
      <c r="H120" s="62"/>
      <c r="I120" s="62"/>
      <c r="J120" s="62"/>
      <c r="K120" s="63"/>
      <c r="L120" s="6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</row>
    <row r="121" spans="2:72" s="1" customFormat="1" ht="23.25" customHeight="1" x14ac:dyDescent="0.2">
      <c r="B121" s="50">
        <v>42</v>
      </c>
      <c r="C121" s="51">
        <f t="shared" si="1"/>
        <v>45306</v>
      </c>
      <c r="D121" s="52"/>
      <c r="E121" s="52"/>
      <c r="F121" s="53"/>
      <c r="G121" s="53"/>
      <c r="H121" s="52"/>
      <c r="I121" s="52"/>
      <c r="J121" s="52"/>
      <c r="K121" s="53"/>
      <c r="L121" s="5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</row>
    <row r="122" spans="2:72" s="1" customFormat="1" ht="23.25" customHeight="1" x14ac:dyDescent="0.2">
      <c r="B122" s="50">
        <v>43</v>
      </c>
      <c r="C122" s="51">
        <f t="shared" si="1"/>
        <v>45313</v>
      </c>
      <c r="D122" s="52"/>
      <c r="E122" s="52"/>
      <c r="F122" s="53"/>
      <c r="G122" s="53"/>
      <c r="H122" s="52"/>
      <c r="I122" s="52"/>
      <c r="J122" s="52"/>
      <c r="K122" s="53"/>
      <c r="L122" s="5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</row>
    <row r="123" spans="2:72" s="1" customFormat="1" ht="23.25" customHeight="1" x14ac:dyDescent="0.2">
      <c r="B123" s="50">
        <v>44</v>
      </c>
      <c r="C123" s="51">
        <f t="shared" si="1"/>
        <v>45320</v>
      </c>
      <c r="D123" s="52"/>
      <c r="E123" s="52"/>
      <c r="F123" s="53"/>
      <c r="G123" s="53"/>
      <c r="H123" s="52"/>
      <c r="I123" s="52"/>
      <c r="J123" s="52"/>
      <c r="K123" s="53"/>
      <c r="L123" s="5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</row>
    <row r="124" spans="2:72" s="1" customFormat="1" ht="23.25" customHeight="1" x14ac:dyDescent="0.2">
      <c r="B124" s="50">
        <v>45</v>
      </c>
      <c r="C124" s="51">
        <f t="shared" si="1"/>
        <v>45327</v>
      </c>
      <c r="D124" s="52"/>
      <c r="E124" s="52"/>
      <c r="F124" s="53"/>
      <c r="G124" s="53"/>
      <c r="H124" s="52"/>
      <c r="I124" s="52"/>
      <c r="J124" s="52"/>
      <c r="K124" s="53"/>
      <c r="L124" s="5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</row>
    <row r="125" spans="2:72" s="1" customFormat="1" ht="23.25" customHeight="1" x14ac:dyDescent="0.2">
      <c r="B125" s="50">
        <v>46</v>
      </c>
      <c r="C125" s="51">
        <f t="shared" si="1"/>
        <v>45334</v>
      </c>
      <c r="D125" s="52"/>
      <c r="E125" s="52"/>
      <c r="F125" s="53"/>
      <c r="G125" s="53"/>
      <c r="H125" s="52"/>
      <c r="I125" s="52"/>
      <c r="J125" s="52"/>
      <c r="K125" s="53"/>
      <c r="L125" s="5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</row>
    <row r="126" spans="2:72" s="1" customFormat="1" ht="23.25" customHeight="1" x14ac:dyDescent="0.2">
      <c r="B126" s="50">
        <v>47</v>
      </c>
      <c r="C126" s="51">
        <f t="shared" si="1"/>
        <v>45341</v>
      </c>
      <c r="D126" s="52"/>
      <c r="E126" s="52"/>
      <c r="F126" s="53"/>
      <c r="G126" s="53"/>
      <c r="H126" s="52"/>
      <c r="I126" s="52"/>
      <c r="J126" s="52"/>
      <c r="K126" s="53"/>
      <c r="L126" s="5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</row>
    <row r="127" spans="2:72" s="1" customFormat="1" ht="23.25" customHeight="1" x14ac:dyDescent="0.2">
      <c r="B127" s="50">
        <v>48</v>
      </c>
      <c r="C127" s="51">
        <f t="shared" si="1"/>
        <v>45348</v>
      </c>
      <c r="D127" s="52"/>
      <c r="E127" s="52"/>
      <c r="F127" s="53"/>
      <c r="G127" s="53"/>
      <c r="H127" s="52"/>
      <c r="I127" s="52"/>
      <c r="J127" s="52"/>
      <c r="K127" s="53"/>
      <c r="L127" s="5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</row>
    <row r="128" spans="2:72" s="1" customFormat="1" ht="23.25" customHeight="1" thickBot="1" x14ac:dyDescent="0.25">
      <c r="B128" s="50">
        <v>49</v>
      </c>
      <c r="C128" s="51">
        <f t="shared" si="1"/>
        <v>45355</v>
      </c>
      <c r="D128" s="52"/>
      <c r="E128" s="52"/>
      <c r="F128" s="53"/>
      <c r="G128" s="53"/>
      <c r="H128" s="52"/>
      <c r="I128" s="52"/>
      <c r="J128" s="52"/>
      <c r="K128" s="53"/>
      <c r="L128" s="5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</row>
    <row r="129" spans="2:72" s="1" customFormat="1" ht="23.25" customHeight="1" x14ac:dyDescent="0.2">
      <c r="B129" s="50">
        <v>50</v>
      </c>
      <c r="C129" s="51">
        <f t="shared" si="1"/>
        <v>45362</v>
      </c>
      <c r="D129" s="52"/>
      <c r="E129" s="52"/>
      <c r="F129" s="53"/>
      <c r="G129" s="53"/>
      <c r="H129" s="52"/>
      <c r="I129" s="52"/>
      <c r="J129" s="52"/>
      <c r="K129" s="53"/>
      <c r="L129" s="54"/>
      <c r="M129" s="3"/>
      <c r="N129" s="241" t="s">
        <v>69</v>
      </c>
      <c r="O129" s="242"/>
      <c r="P129" s="24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</row>
    <row r="130" spans="2:72" s="1" customFormat="1" ht="23.25" customHeight="1" x14ac:dyDescent="0.2">
      <c r="B130" s="50">
        <v>51</v>
      </c>
      <c r="C130" s="51">
        <f t="shared" si="1"/>
        <v>45369</v>
      </c>
      <c r="D130" s="52"/>
      <c r="E130" s="52"/>
      <c r="F130" s="53"/>
      <c r="G130" s="53"/>
      <c r="H130" s="52"/>
      <c r="I130" s="52"/>
      <c r="J130" s="52"/>
      <c r="K130" s="53"/>
      <c r="L130" s="54"/>
      <c r="M130" s="3"/>
      <c r="N130" s="251" t="s">
        <v>70</v>
      </c>
      <c r="O130" s="252"/>
      <c r="P130" s="55">
        <f>SUM(D120:D132)</f>
        <v>0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</row>
    <row r="131" spans="2:72" s="1" customFormat="1" ht="23.25" customHeight="1" x14ac:dyDescent="0.2">
      <c r="B131" s="50">
        <v>52</v>
      </c>
      <c r="C131" s="51">
        <f t="shared" si="1"/>
        <v>45376</v>
      </c>
      <c r="D131" s="52"/>
      <c r="E131" s="52"/>
      <c r="F131" s="53"/>
      <c r="G131" s="53"/>
      <c r="H131" s="52"/>
      <c r="I131" s="52"/>
      <c r="J131" s="52"/>
      <c r="K131" s="53"/>
      <c r="L131" s="54"/>
      <c r="M131" s="3"/>
      <c r="N131" s="251" t="s">
        <v>64</v>
      </c>
      <c r="O131" s="252"/>
      <c r="P131" s="55">
        <f>SUM(G120:G132)</f>
        <v>0</v>
      </c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</row>
    <row r="132" spans="2:72" s="1" customFormat="1" ht="23.25" customHeight="1" x14ac:dyDescent="0.2">
      <c r="B132" s="50">
        <v>53</v>
      </c>
      <c r="C132" s="51"/>
      <c r="D132" s="52"/>
      <c r="E132" s="52"/>
      <c r="F132" s="53"/>
      <c r="G132" s="53"/>
      <c r="H132" s="52"/>
      <c r="I132" s="52"/>
      <c r="J132" s="52"/>
      <c r="K132" s="53"/>
      <c r="L132" s="54"/>
      <c r="M132" s="3"/>
      <c r="N132" s="251" t="s">
        <v>65</v>
      </c>
      <c r="O132" s="252"/>
      <c r="P132" s="55">
        <f>SUM(J120:J132)</f>
        <v>0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</row>
    <row r="133" spans="2:72" s="1" customFormat="1" ht="17" thickBot="1" x14ac:dyDescent="0.25">
      <c r="B133" s="65"/>
      <c r="C133" s="66" t="s">
        <v>71</v>
      </c>
      <c r="D133" s="67" t="s">
        <v>72</v>
      </c>
      <c r="E133" s="67" t="s">
        <v>72</v>
      </c>
      <c r="F133" s="67" t="s">
        <v>72</v>
      </c>
      <c r="G133" s="67" t="s">
        <v>72</v>
      </c>
      <c r="H133" s="67" t="s">
        <v>72</v>
      </c>
      <c r="I133" s="67" t="s">
        <v>72</v>
      </c>
      <c r="J133" s="67" t="s">
        <v>72</v>
      </c>
      <c r="K133" s="67" t="s">
        <v>72</v>
      </c>
      <c r="L133" s="68" t="s">
        <v>72</v>
      </c>
      <c r="M133" s="3"/>
      <c r="N133" s="253" t="s">
        <v>66</v>
      </c>
      <c r="O133" s="254"/>
      <c r="P133" s="60">
        <f>SUM(L120:L132)</f>
        <v>0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</row>
    <row r="134" spans="2:72" s="1" customFormat="1" ht="17" thickBot="1" x14ac:dyDescent="0.25">
      <c r="B134" s="42"/>
      <c r="C134" s="69"/>
      <c r="D134" s="70">
        <f t="shared" ref="D134:L134" si="2">SUM(D80:D132)</f>
        <v>0</v>
      </c>
      <c r="E134" s="70">
        <f t="shared" si="2"/>
        <v>0</v>
      </c>
      <c r="F134" s="70">
        <f t="shared" si="2"/>
        <v>0</v>
      </c>
      <c r="G134" s="70">
        <f t="shared" si="2"/>
        <v>0</v>
      </c>
      <c r="H134" s="70">
        <f t="shared" si="2"/>
        <v>0</v>
      </c>
      <c r="I134" s="70">
        <f t="shared" si="2"/>
        <v>0</v>
      </c>
      <c r="J134" s="70">
        <f t="shared" si="2"/>
        <v>0</v>
      </c>
      <c r="K134" s="70">
        <f t="shared" si="2"/>
        <v>0</v>
      </c>
      <c r="L134" s="71">
        <f t="shared" si="2"/>
        <v>0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</row>
    <row r="135" spans="2:72" s="1" customFormat="1" x14ac:dyDescent="0.2">
      <c r="C135" s="2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</row>
    <row r="136" spans="2:72" s="1" customFormat="1" x14ac:dyDescent="0.2">
      <c r="C136" s="2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</row>
    <row r="137" spans="2:72" s="1" customFormat="1" x14ac:dyDescent="0.2">
      <c r="C137" s="2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</row>
    <row r="138" spans="2:72" s="1" customFormat="1" x14ac:dyDescent="0.2">
      <c r="C138" s="2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</row>
    <row r="139" spans="2:72" s="1" customFormat="1" x14ac:dyDescent="0.2">
      <c r="C139" s="2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</row>
    <row r="140" spans="2:72" s="1" customFormat="1" x14ac:dyDescent="0.2">
      <c r="C140" s="2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</row>
    <row r="141" spans="2:72" s="1" customFormat="1" x14ac:dyDescent="0.2">
      <c r="C141" s="2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</row>
    <row r="142" spans="2:72" s="1" customFormat="1" x14ac:dyDescent="0.2">
      <c r="C142" s="2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</row>
    <row r="143" spans="2:72" s="1" customFormat="1" x14ac:dyDescent="0.2">
      <c r="C143" s="2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</row>
    <row r="144" spans="2:72" s="1" customFormat="1" x14ac:dyDescent="0.2">
      <c r="C144" s="2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</row>
    <row r="145" spans="2:72" s="1" customFormat="1" x14ac:dyDescent="0.2">
      <c r="C145" s="2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</row>
    <row r="146" spans="2:72" s="1" customFormat="1" x14ac:dyDescent="0.2">
      <c r="C146" s="2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</row>
    <row r="147" spans="2:72" s="1" customFormat="1" x14ac:dyDescent="0.2">
      <c r="C147" s="2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</row>
    <row r="148" spans="2:72" x14ac:dyDescent="0.2"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3"/>
    </row>
    <row r="149" spans="2:72" s="3" customFormat="1" x14ac:dyDescent="0.2"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2:72" s="3" customFormat="1" x14ac:dyDescent="0.2"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2:72" s="3" customFormat="1" x14ac:dyDescent="0.2"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2:72" s="3" customFormat="1" x14ac:dyDescent="0.2"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2:72" s="3" customFormat="1" x14ac:dyDescent="0.2"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2:72" s="3" customFormat="1" x14ac:dyDescent="0.2"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2:72" s="3" customFormat="1" x14ac:dyDescent="0.2"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2:72" s="3" customFormat="1" x14ac:dyDescent="0.2"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2:72" s="3" customFormat="1" x14ac:dyDescent="0.2"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2:72" s="3" customFormat="1" x14ac:dyDescent="0.2"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74"/>
    </row>
    <row r="159" spans="2:72" s="3" customFormat="1" x14ac:dyDescent="0.2"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74"/>
    </row>
    <row r="160" spans="2:72" s="3" customFormat="1" x14ac:dyDescent="0.2"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74"/>
    </row>
    <row r="161" spans="2:16" s="3" customFormat="1" x14ac:dyDescent="0.2"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74"/>
    </row>
    <row r="162" spans="2:16" s="3" customFormat="1" x14ac:dyDescent="0.2"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74"/>
    </row>
    <row r="163" spans="2:16" s="3" customFormat="1" x14ac:dyDescent="0.2"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74"/>
    </row>
    <row r="164" spans="2:16" s="3" customFormat="1" x14ac:dyDescent="0.2">
      <c r="B164"/>
      <c r="C164" s="72"/>
      <c r="D164"/>
      <c r="E164"/>
      <c r="F164"/>
      <c r="G164"/>
      <c r="H164"/>
      <c r="I164"/>
      <c r="J164"/>
      <c r="K164"/>
      <c r="L164"/>
      <c r="M164"/>
      <c r="N164"/>
      <c r="O164"/>
      <c r="P164" s="74"/>
    </row>
    <row r="165" spans="2:16" s="3" customFormat="1" x14ac:dyDescent="0.2">
      <c r="C165" s="73"/>
      <c r="P165" s="74"/>
    </row>
    <row r="166" spans="2:16" s="3" customFormat="1" x14ac:dyDescent="0.2">
      <c r="C166" s="73"/>
      <c r="P166" s="74"/>
    </row>
    <row r="167" spans="2:16" s="3" customFormat="1" x14ac:dyDescent="0.2">
      <c r="C167" s="73"/>
      <c r="P167" s="74"/>
    </row>
    <row r="168" spans="2:16" s="3" customFormat="1" x14ac:dyDescent="0.2">
      <c r="C168" s="73"/>
      <c r="P168" s="74"/>
    </row>
    <row r="169" spans="2:16" s="3" customFormat="1" x14ac:dyDescent="0.2">
      <c r="C169" s="73"/>
      <c r="P169" s="74"/>
    </row>
    <row r="170" spans="2:16" s="3" customFormat="1" x14ac:dyDescent="0.2">
      <c r="C170" s="73"/>
      <c r="P170" s="74"/>
    </row>
    <row r="171" spans="2:16" s="3" customFormat="1" x14ac:dyDescent="0.2">
      <c r="C171" s="73"/>
      <c r="P171" s="74"/>
    </row>
    <row r="172" spans="2:16" s="3" customFormat="1" x14ac:dyDescent="0.2">
      <c r="C172" s="73"/>
      <c r="P172" s="74"/>
    </row>
    <row r="173" spans="2:16" s="3" customFormat="1" x14ac:dyDescent="0.2">
      <c r="C173" s="73"/>
      <c r="P173" s="74"/>
    </row>
    <row r="174" spans="2:16" s="3" customFormat="1" x14ac:dyDescent="0.2">
      <c r="C174" s="73"/>
      <c r="P174" s="74"/>
    </row>
    <row r="175" spans="2:16" s="3" customFormat="1" x14ac:dyDescent="0.2">
      <c r="C175" s="73"/>
      <c r="P175" s="74"/>
    </row>
    <row r="176" spans="2:16" s="3" customFormat="1" x14ac:dyDescent="0.2">
      <c r="C176" s="73"/>
      <c r="P176" s="74"/>
    </row>
    <row r="177" spans="3:16" s="3" customFormat="1" x14ac:dyDescent="0.2">
      <c r="C177" s="73"/>
      <c r="P177" s="74"/>
    </row>
    <row r="178" spans="3:16" s="3" customFormat="1" x14ac:dyDescent="0.2">
      <c r="C178" s="73"/>
      <c r="P178" s="74"/>
    </row>
    <row r="179" spans="3:16" s="3" customFormat="1" x14ac:dyDescent="0.2">
      <c r="C179" s="73"/>
      <c r="P179" s="74"/>
    </row>
    <row r="180" spans="3:16" s="3" customFormat="1" x14ac:dyDescent="0.2">
      <c r="C180" s="73"/>
      <c r="P180" s="74"/>
    </row>
    <row r="181" spans="3:16" s="3" customFormat="1" x14ac:dyDescent="0.2">
      <c r="C181" s="73"/>
      <c r="P181" s="74"/>
    </row>
    <row r="182" spans="3:16" s="3" customFormat="1" x14ac:dyDescent="0.2">
      <c r="C182" s="73"/>
      <c r="P182" s="74"/>
    </row>
    <row r="183" spans="3:16" s="3" customFormat="1" x14ac:dyDescent="0.2">
      <c r="C183" s="73"/>
      <c r="P183" s="74"/>
    </row>
    <row r="184" spans="3:16" s="3" customFormat="1" x14ac:dyDescent="0.2">
      <c r="C184" s="73"/>
      <c r="P184" s="74"/>
    </row>
    <row r="185" spans="3:16" s="3" customFormat="1" x14ac:dyDescent="0.2">
      <c r="C185" s="73"/>
      <c r="P185" s="74"/>
    </row>
    <row r="186" spans="3:16" s="3" customFormat="1" x14ac:dyDescent="0.2">
      <c r="C186" s="73"/>
      <c r="P186" s="74"/>
    </row>
    <row r="187" spans="3:16" s="3" customFormat="1" x14ac:dyDescent="0.2">
      <c r="C187" s="73"/>
      <c r="P187" s="74"/>
    </row>
    <row r="188" spans="3:16" s="3" customFormat="1" x14ac:dyDescent="0.2">
      <c r="C188" s="73"/>
      <c r="P188" s="74"/>
    </row>
    <row r="189" spans="3:16" s="3" customFormat="1" x14ac:dyDescent="0.2">
      <c r="C189" s="73"/>
      <c r="P189" s="74"/>
    </row>
    <row r="190" spans="3:16" s="3" customFormat="1" x14ac:dyDescent="0.2">
      <c r="C190" s="73"/>
      <c r="P190" s="74"/>
    </row>
    <row r="191" spans="3:16" s="3" customFormat="1" x14ac:dyDescent="0.2">
      <c r="C191" s="73"/>
      <c r="P191" s="74"/>
    </row>
    <row r="192" spans="3:16" s="3" customFormat="1" x14ac:dyDescent="0.2">
      <c r="C192" s="73"/>
      <c r="P192" s="74"/>
    </row>
    <row r="193" spans="3:16" s="3" customFormat="1" x14ac:dyDescent="0.2">
      <c r="C193" s="73"/>
      <c r="P193" s="74"/>
    </row>
    <row r="194" spans="3:16" s="3" customFormat="1" x14ac:dyDescent="0.2">
      <c r="C194" s="73"/>
      <c r="P194" s="74"/>
    </row>
    <row r="195" spans="3:16" s="3" customFormat="1" x14ac:dyDescent="0.2">
      <c r="C195" s="73"/>
      <c r="P195" s="74"/>
    </row>
    <row r="196" spans="3:16" s="3" customFormat="1" x14ac:dyDescent="0.2">
      <c r="C196" s="73"/>
      <c r="P196" s="74"/>
    </row>
    <row r="197" spans="3:16" s="3" customFormat="1" x14ac:dyDescent="0.2">
      <c r="C197" s="73"/>
      <c r="P197" s="74"/>
    </row>
    <row r="198" spans="3:16" s="3" customFormat="1" x14ac:dyDescent="0.2">
      <c r="C198" s="73"/>
      <c r="P198" s="74"/>
    </row>
    <row r="199" spans="3:16" s="3" customFormat="1" x14ac:dyDescent="0.2">
      <c r="C199" s="73"/>
      <c r="P199" s="74"/>
    </row>
    <row r="200" spans="3:16" s="3" customFormat="1" x14ac:dyDescent="0.2">
      <c r="C200" s="73"/>
      <c r="P200" s="74"/>
    </row>
    <row r="201" spans="3:16" s="3" customFormat="1" x14ac:dyDescent="0.2">
      <c r="C201" s="73"/>
      <c r="P201" s="74"/>
    </row>
    <row r="202" spans="3:16" s="3" customFormat="1" x14ac:dyDescent="0.2">
      <c r="C202" s="73"/>
      <c r="P202" s="74"/>
    </row>
    <row r="203" spans="3:16" s="3" customFormat="1" x14ac:dyDescent="0.2">
      <c r="C203" s="73"/>
      <c r="P203" s="74"/>
    </row>
    <row r="204" spans="3:16" s="3" customFormat="1" x14ac:dyDescent="0.2">
      <c r="C204" s="73"/>
      <c r="P204" s="74"/>
    </row>
    <row r="205" spans="3:16" s="3" customFormat="1" x14ac:dyDescent="0.2">
      <c r="C205" s="73"/>
      <c r="P205" s="74"/>
    </row>
    <row r="206" spans="3:16" s="3" customFormat="1" x14ac:dyDescent="0.2">
      <c r="C206" s="73"/>
      <c r="P206" s="74"/>
    </row>
    <row r="207" spans="3:16" s="3" customFormat="1" x14ac:dyDescent="0.2">
      <c r="C207" s="73"/>
      <c r="P207" s="74"/>
    </row>
    <row r="208" spans="3:16" s="3" customFormat="1" x14ac:dyDescent="0.2">
      <c r="C208" s="73"/>
      <c r="P208" s="74"/>
    </row>
  </sheetData>
  <mergeCells count="280">
    <mergeCell ref="N131:O131"/>
    <mergeCell ref="N132:O132"/>
    <mergeCell ref="N133:O133"/>
    <mergeCell ref="N116:O116"/>
    <mergeCell ref="N117:O117"/>
    <mergeCell ref="N118:O118"/>
    <mergeCell ref="N119:O119"/>
    <mergeCell ref="N129:P129"/>
    <mergeCell ref="N130:O130"/>
    <mergeCell ref="N102:P102"/>
    <mergeCell ref="N103:O103"/>
    <mergeCell ref="N104:O104"/>
    <mergeCell ref="N105:O105"/>
    <mergeCell ref="N106:O106"/>
    <mergeCell ref="N115:P115"/>
    <mergeCell ref="C77:E77"/>
    <mergeCell ref="N89:P89"/>
    <mergeCell ref="N90:O90"/>
    <mergeCell ref="N91:O91"/>
    <mergeCell ref="N92:O92"/>
    <mergeCell ref="N93:O93"/>
    <mergeCell ref="C72:E72"/>
    <mergeCell ref="H72:J72"/>
    <mergeCell ref="K72:M72"/>
    <mergeCell ref="R72:T72"/>
    <mergeCell ref="J73:L73"/>
    <mergeCell ref="Q73:S73"/>
    <mergeCell ref="C70:E70"/>
    <mergeCell ref="H70:J70"/>
    <mergeCell ref="K70:M70"/>
    <mergeCell ref="R70:T70"/>
    <mergeCell ref="C71:E71"/>
    <mergeCell ref="H71:J71"/>
    <mergeCell ref="K71:M71"/>
    <mergeCell ref="R71:T71"/>
    <mergeCell ref="C68:E68"/>
    <mergeCell ref="H68:J68"/>
    <mergeCell ref="K68:M68"/>
    <mergeCell ref="R68:T68"/>
    <mergeCell ref="C69:E69"/>
    <mergeCell ref="H69:J69"/>
    <mergeCell ref="K69:M69"/>
    <mergeCell ref="R69:T69"/>
    <mergeCell ref="H66:J66"/>
    <mergeCell ref="K66:M66"/>
    <mergeCell ref="R66:T66"/>
    <mergeCell ref="C67:E67"/>
    <mergeCell ref="H67:J67"/>
    <mergeCell ref="K67:M67"/>
    <mergeCell ref="R67:T67"/>
    <mergeCell ref="H64:J64"/>
    <mergeCell ref="K64:M64"/>
    <mergeCell ref="R64:T64"/>
    <mergeCell ref="H65:J65"/>
    <mergeCell ref="K65:M65"/>
    <mergeCell ref="R65:T65"/>
    <mergeCell ref="C62:E62"/>
    <mergeCell ref="H62:J62"/>
    <mergeCell ref="K62:M62"/>
    <mergeCell ref="R62:T62"/>
    <mergeCell ref="C63:E63"/>
    <mergeCell ref="H63:J63"/>
    <mergeCell ref="K63:M63"/>
    <mergeCell ref="R63:T63"/>
    <mergeCell ref="C60:E60"/>
    <mergeCell ref="H60:J60"/>
    <mergeCell ref="K60:M60"/>
    <mergeCell ref="R60:T60"/>
    <mergeCell ref="C61:E61"/>
    <mergeCell ref="H61:J61"/>
    <mergeCell ref="K61:M61"/>
    <mergeCell ref="R61:T61"/>
    <mergeCell ref="C58:E58"/>
    <mergeCell ref="H58:J58"/>
    <mergeCell ref="K58:M58"/>
    <mergeCell ref="R58:T58"/>
    <mergeCell ref="C59:E59"/>
    <mergeCell ref="H59:J59"/>
    <mergeCell ref="K59:M59"/>
    <mergeCell ref="R59:T59"/>
    <mergeCell ref="C56:E56"/>
    <mergeCell ref="H56:J56"/>
    <mergeCell ref="K56:M56"/>
    <mergeCell ref="R56:T56"/>
    <mergeCell ref="C57:E57"/>
    <mergeCell ref="H57:J57"/>
    <mergeCell ref="K57:M57"/>
    <mergeCell ref="R57:T57"/>
    <mergeCell ref="C54:E54"/>
    <mergeCell ref="H54:J54"/>
    <mergeCell ref="K54:M54"/>
    <mergeCell ref="R54:T54"/>
    <mergeCell ref="C55:E55"/>
    <mergeCell ref="H55:J55"/>
    <mergeCell ref="K55:M55"/>
    <mergeCell ref="R55:T55"/>
    <mergeCell ref="C52:E52"/>
    <mergeCell ref="H52:J52"/>
    <mergeCell ref="K52:M52"/>
    <mergeCell ref="R52:T52"/>
    <mergeCell ref="C53:E53"/>
    <mergeCell ref="H53:J53"/>
    <mergeCell ref="K53:M53"/>
    <mergeCell ref="R53:T53"/>
    <mergeCell ref="C50:E50"/>
    <mergeCell ref="H50:J50"/>
    <mergeCell ref="K50:M50"/>
    <mergeCell ref="R50:T50"/>
    <mergeCell ref="C51:E51"/>
    <mergeCell ref="H51:J51"/>
    <mergeCell ref="K51:M51"/>
    <mergeCell ref="R51:T51"/>
    <mergeCell ref="C48:E48"/>
    <mergeCell ref="H48:J48"/>
    <mergeCell ref="K48:M48"/>
    <mergeCell ref="R48:T48"/>
    <mergeCell ref="C49:E49"/>
    <mergeCell ref="H49:J49"/>
    <mergeCell ref="K49:M49"/>
    <mergeCell ref="R49:T49"/>
    <mergeCell ref="C46:E46"/>
    <mergeCell ref="H46:J46"/>
    <mergeCell ref="K46:M46"/>
    <mergeCell ref="R46:T46"/>
    <mergeCell ref="C47:E47"/>
    <mergeCell ref="H47:J47"/>
    <mergeCell ref="K47:M47"/>
    <mergeCell ref="R47:T47"/>
    <mergeCell ref="C44:E44"/>
    <mergeCell ref="K44:M44"/>
    <mergeCell ref="R44:T44"/>
    <mergeCell ref="C45:E45"/>
    <mergeCell ref="H45:J45"/>
    <mergeCell ref="K45:M45"/>
    <mergeCell ref="R45:T45"/>
    <mergeCell ref="C42:E42"/>
    <mergeCell ref="K42:M42"/>
    <mergeCell ref="R42:T42"/>
    <mergeCell ref="C43:E43"/>
    <mergeCell ref="K43:M43"/>
    <mergeCell ref="R43:T43"/>
    <mergeCell ref="C40:E40"/>
    <mergeCell ref="H40:J40"/>
    <mergeCell ref="K40:M40"/>
    <mergeCell ref="R40:T40"/>
    <mergeCell ref="C41:E41"/>
    <mergeCell ref="K41:M41"/>
    <mergeCell ref="R41:T41"/>
    <mergeCell ref="C38:E38"/>
    <mergeCell ref="H38:J38"/>
    <mergeCell ref="K38:M38"/>
    <mergeCell ref="R38:T38"/>
    <mergeCell ref="C39:E39"/>
    <mergeCell ref="H39:J39"/>
    <mergeCell ref="K39:M39"/>
    <mergeCell ref="R39:T39"/>
    <mergeCell ref="C36:E36"/>
    <mergeCell ref="H36:J36"/>
    <mergeCell ref="K36:M36"/>
    <mergeCell ref="R36:T36"/>
    <mergeCell ref="C37:E37"/>
    <mergeCell ref="H37:J37"/>
    <mergeCell ref="K37:M37"/>
    <mergeCell ref="R37:T37"/>
    <mergeCell ref="C34:E34"/>
    <mergeCell ref="H34:J34"/>
    <mergeCell ref="K34:M34"/>
    <mergeCell ref="R34:T34"/>
    <mergeCell ref="C35:E35"/>
    <mergeCell ref="H35:J35"/>
    <mergeCell ref="K35:M35"/>
    <mergeCell ref="R35:T35"/>
    <mergeCell ref="C32:E32"/>
    <mergeCell ref="H32:J32"/>
    <mergeCell ref="K32:M32"/>
    <mergeCell ref="R32:T32"/>
    <mergeCell ref="C33:E33"/>
    <mergeCell ref="H33:J33"/>
    <mergeCell ref="K33:M33"/>
    <mergeCell ref="R33:T33"/>
    <mergeCell ref="C30:E30"/>
    <mergeCell ref="H30:J30"/>
    <mergeCell ref="K30:M30"/>
    <mergeCell ref="R30:T30"/>
    <mergeCell ref="C31:E31"/>
    <mergeCell ref="H31:J31"/>
    <mergeCell ref="K31:M31"/>
    <mergeCell ref="R31:T31"/>
    <mergeCell ref="C28:E28"/>
    <mergeCell ref="H28:J28"/>
    <mergeCell ref="K28:M28"/>
    <mergeCell ref="R28:T28"/>
    <mergeCell ref="C29:E29"/>
    <mergeCell ref="H29:J29"/>
    <mergeCell ref="K29:M29"/>
    <mergeCell ref="R29:T29"/>
    <mergeCell ref="C26:E26"/>
    <mergeCell ref="H26:J26"/>
    <mergeCell ref="K26:M26"/>
    <mergeCell ref="R26:T26"/>
    <mergeCell ref="C27:E27"/>
    <mergeCell ref="H27:J27"/>
    <mergeCell ref="K27:M27"/>
    <mergeCell ref="R27:T27"/>
    <mergeCell ref="B23:C23"/>
    <mergeCell ref="D23:K23"/>
    <mergeCell ref="P23:Q23"/>
    <mergeCell ref="S23:T23"/>
    <mergeCell ref="B25:C25"/>
    <mergeCell ref="D25:T25"/>
    <mergeCell ref="B20:C20"/>
    <mergeCell ref="D20:K20"/>
    <mergeCell ref="B21:C21"/>
    <mergeCell ref="D21:K21"/>
    <mergeCell ref="B22:C22"/>
    <mergeCell ref="D22:K22"/>
    <mergeCell ref="B18:C18"/>
    <mergeCell ref="D18:K18"/>
    <mergeCell ref="P18:Q18"/>
    <mergeCell ref="S18:T18"/>
    <mergeCell ref="B19:C19"/>
    <mergeCell ref="D19:K19"/>
    <mergeCell ref="P19:Q19"/>
    <mergeCell ref="S19:T19"/>
    <mergeCell ref="B16:C16"/>
    <mergeCell ref="D16:K16"/>
    <mergeCell ref="P16:Q16"/>
    <mergeCell ref="S16:T16"/>
    <mergeCell ref="B17:C17"/>
    <mergeCell ref="D17:K17"/>
    <mergeCell ref="P17:Q17"/>
    <mergeCell ref="S17:T17"/>
    <mergeCell ref="B14:C14"/>
    <mergeCell ref="D14:K14"/>
    <mergeCell ref="P14:Q14"/>
    <mergeCell ref="S14:T14"/>
    <mergeCell ref="B15:C15"/>
    <mergeCell ref="D15:K15"/>
    <mergeCell ref="P15:Q15"/>
    <mergeCell ref="S15:T15"/>
    <mergeCell ref="B12:C12"/>
    <mergeCell ref="D12:K12"/>
    <mergeCell ref="P12:Q12"/>
    <mergeCell ref="S12:T12"/>
    <mergeCell ref="B13:C13"/>
    <mergeCell ref="D13:K13"/>
    <mergeCell ref="P13:Q13"/>
    <mergeCell ref="S13:T13"/>
    <mergeCell ref="P10:Q10"/>
    <mergeCell ref="S10:T10"/>
    <mergeCell ref="B11:C11"/>
    <mergeCell ref="D11:K11"/>
    <mergeCell ref="P11:Q11"/>
    <mergeCell ref="S11:T11"/>
    <mergeCell ref="B8:C8"/>
    <mergeCell ref="D8:M8"/>
    <mergeCell ref="P8:Q8"/>
    <mergeCell ref="S8:T8"/>
    <mergeCell ref="B9:C10"/>
    <mergeCell ref="D9:K10"/>
    <mergeCell ref="L9:L10"/>
    <mergeCell ref="M9:M10"/>
    <mergeCell ref="P9:Q9"/>
    <mergeCell ref="S9:T9"/>
    <mergeCell ref="P4:Q4"/>
    <mergeCell ref="B5:E6"/>
    <mergeCell ref="F5:G6"/>
    <mergeCell ref="H5:K6"/>
    <mergeCell ref="L5:M6"/>
    <mergeCell ref="P6:Q6"/>
    <mergeCell ref="B2:C2"/>
    <mergeCell ref="D2:E2"/>
    <mergeCell ref="F2:G2"/>
    <mergeCell ref="H2:M2"/>
    <mergeCell ref="P2:Q2"/>
    <mergeCell ref="B3:E4"/>
    <mergeCell ref="F3:G4"/>
    <mergeCell ref="H3:K4"/>
    <mergeCell ref="L3:M4"/>
    <mergeCell ref="P3:Q3"/>
  </mergeCells>
  <conditionalFormatting sqref="L5:M6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7D4D-8988-4DE3-9FE7-F64C62AD0BED}">
  <dimension ref="A1:BT216"/>
  <sheetViews>
    <sheetView zoomScale="75" zoomScaleNormal="70" workbookViewId="0">
      <selection activeCell="B11" sqref="B11:C11"/>
    </sheetView>
  </sheetViews>
  <sheetFormatPr baseColWidth="10" defaultColWidth="8.6640625" defaultRowHeight="15" x14ac:dyDescent="0.2"/>
  <cols>
    <col min="1" max="1" width="13" style="1" customWidth="1"/>
    <col min="2" max="2" width="15.6640625" bestFit="1" customWidth="1"/>
    <col min="3" max="3" width="23.6640625" style="72" bestFit="1" customWidth="1"/>
    <col min="4" max="4" width="12.1640625" customWidth="1"/>
    <col min="5" max="5" width="42.1640625" customWidth="1"/>
    <col min="6" max="6" width="13.5" bestFit="1" customWidth="1"/>
    <col min="7" max="7" width="12.1640625" customWidth="1"/>
    <col min="8" max="8" width="18.5" customWidth="1"/>
    <col min="9" max="9" width="27.6640625" customWidth="1"/>
    <col min="10" max="10" width="13.6640625" customWidth="1"/>
    <col min="11" max="11" width="14" customWidth="1"/>
    <col min="12" max="12" width="14.6640625" customWidth="1"/>
    <col min="13" max="13" width="13.6640625" customWidth="1"/>
    <col min="14" max="14" width="11" customWidth="1"/>
    <col min="15" max="15" width="13.5" bestFit="1" customWidth="1"/>
    <col min="16" max="16" width="11" style="74" customWidth="1"/>
    <col min="17" max="17" width="30.5" style="3" customWidth="1"/>
    <col min="18" max="18" width="5.5" style="3" customWidth="1"/>
    <col min="19" max="19" width="19.5" style="3" customWidth="1"/>
    <col min="20" max="22" width="27.5" style="3" customWidth="1"/>
    <col min="23" max="23" width="40.5" style="3" bestFit="1" customWidth="1"/>
    <col min="24" max="24" width="29" style="3" customWidth="1"/>
    <col min="25" max="61" width="8.6640625" style="3"/>
  </cols>
  <sheetData>
    <row r="1" spans="2:61" s="1" customFormat="1" ht="15" customHeight="1" thickBot="1" x14ac:dyDescent="0.25">
      <c r="C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</row>
    <row r="2" spans="2:61" ht="46.5" customHeight="1" x14ac:dyDescent="0.2">
      <c r="B2" s="155" t="s">
        <v>0</v>
      </c>
      <c r="C2" s="267"/>
      <c r="D2" s="156" t="s">
        <v>1</v>
      </c>
      <c r="E2" s="156"/>
      <c r="F2" s="157"/>
      <c r="G2" s="157"/>
      <c r="H2" s="156" t="s">
        <v>75</v>
      </c>
      <c r="I2" s="156"/>
      <c r="J2" s="156"/>
      <c r="K2" s="156"/>
      <c r="L2" s="156"/>
      <c r="M2" s="268"/>
      <c r="N2" s="3"/>
      <c r="O2" s="4" t="s">
        <v>3</v>
      </c>
      <c r="P2" s="158" t="s">
        <v>4</v>
      </c>
      <c r="Q2" s="269"/>
      <c r="BG2"/>
      <c r="BH2"/>
      <c r="BI2"/>
    </row>
    <row r="3" spans="2:61" ht="24.75" customHeight="1" x14ac:dyDescent="0.2">
      <c r="B3" s="149" t="s">
        <v>76</v>
      </c>
      <c r="C3" s="152"/>
      <c r="D3" s="152"/>
      <c r="E3" s="256"/>
      <c r="F3" s="159">
        <v>6800000</v>
      </c>
      <c r="G3" s="273"/>
      <c r="H3" s="152" t="s">
        <v>77</v>
      </c>
      <c r="I3" s="152"/>
      <c r="J3" s="152"/>
      <c r="K3" s="256"/>
      <c r="L3" s="159">
        <f>F2*4</f>
        <v>0</v>
      </c>
      <c r="M3" s="263"/>
      <c r="N3" s="5"/>
      <c r="O3" s="6" t="s">
        <v>78</v>
      </c>
      <c r="P3" s="148" t="s">
        <v>79</v>
      </c>
      <c r="Q3" s="255"/>
      <c r="BG3"/>
      <c r="BH3"/>
      <c r="BI3"/>
    </row>
    <row r="4" spans="2:61" ht="21" customHeight="1" x14ac:dyDescent="0.2">
      <c r="B4" s="270"/>
      <c r="C4" s="271"/>
      <c r="D4" s="271"/>
      <c r="E4" s="272"/>
      <c r="F4" s="274"/>
      <c r="G4" s="275"/>
      <c r="H4" s="271"/>
      <c r="I4" s="271"/>
      <c r="J4" s="271"/>
      <c r="K4" s="272"/>
      <c r="L4" s="274"/>
      <c r="M4" s="276"/>
      <c r="N4" s="3"/>
      <c r="O4" s="6" t="s">
        <v>8</v>
      </c>
      <c r="P4" s="148"/>
      <c r="Q4" s="255"/>
      <c r="BG4"/>
      <c r="BH4"/>
      <c r="BI4"/>
    </row>
    <row r="5" spans="2:61" ht="21" customHeight="1" x14ac:dyDescent="0.2">
      <c r="B5" s="149" t="s">
        <v>80</v>
      </c>
      <c r="C5" s="152"/>
      <c r="D5" s="152"/>
      <c r="E5" s="256"/>
      <c r="F5" s="150">
        <v>11200000</v>
      </c>
      <c r="G5" s="260"/>
      <c r="H5" s="152" t="s">
        <v>81</v>
      </c>
      <c r="I5" s="152"/>
      <c r="J5" s="152"/>
      <c r="K5" s="256"/>
      <c r="L5" s="159">
        <f>(F3+F5)-L3</f>
        <v>18000000</v>
      </c>
      <c r="M5" s="263"/>
      <c r="N5" s="3"/>
      <c r="O5" s="7" t="s">
        <v>11</v>
      </c>
      <c r="P5" s="8"/>
      <c r="Q5" s="9"/>
      <c r="BG5"/>
      <c r="BH5"/>
      <c r="BI5"/>
    </row>
    <row r="6" spans="2:61" ht="21" customHeight="1" thickBot="1" x14ac:dyDescent="0.25">
      <c r="B6" s="257"/>
      <c r="C6" s="258"/>
      <c r="D6" s="258"/>
      <c r="E6" s="259"/>
      <c r="F6" s="261"/>
      <c r="G6" s="262"/>
      <c r="H6" s="258"/>
      <c r="I6" s="258"/>
      <c r="J6" s="258"/>
      <c r="K6" s="259"/>
      <c r="L6" s="264"/>
      <c r="M6" s="265"/>
      <c r="N6" s="3"/>
      <c r="O6" s="10" t="s">
        <v>12</v>
      </c>
      <c r="P6" s="154"/>
      <c r="Q6" s="266"/>
      <c r="BG6"/>
      <c r="BH6"/>
      <c r="BI6"/>
    </row>
    <row r="7" spans="2:61" s="1" customFormat="1" ht="9" customHeight="1" thickBot="1" x14ac:dyDescent="0.25">
      <c r="C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2:61" s="1" customFormat="1" ht="46.5" customHeight="1" x14ac:dyDescent="0.2">
      <c r="B8" s="155" t="s">
        <v>13</v>
      </c>
      <c r="C8" s="267"/>
      <c r="D8" s="156" t="s">
        <v>82</v>
      </c>
      <c r="E8" s="156"/>
      <c r="F8" s="156"/>
      <c r="G8" s="156"/>
      <c r="H8" s="156"/>
      <c r="I8" s="156"/>
      <c r="J8" s="156"/>
      <c r="K8" s="156"/>
      <c r="L8" s="156"/>
      <c r="M8" s="268"/>
      <c r="N8" s="3"/>
      <c r="O8" s="4" t="s">
        <v>15</v>
      </c>
      <c r="P8" s="158" t="s">
        <v>16</v>
      </c>
      <c r="Q8" s="269"/>
      <c r="R8" s="3"/>
      <c r="S8" s="164" t="s">
        <v>17</v>
      </c>
      <c r="T8" s="277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</row>
    <row r="9" spans="2:61" s="1" customFormat="1" ht="17.25" customHeight="1" x14ac:dyDescent="0.2">
      <c r="B9" s="165" t="s">
        <v>18</v>
      </c>
      <c r="C9" s="278"/>
      <c r="D9" s="166" t="s">
        <v>19</v>
      </c>
      <c r="E9" s="281"/>
      <c r="F9" s="281"/>
      <c r="G9" s="281"/>
      <c r="H9" s="281"/>
      <c r="I9" s="281"/>
      <c r="J9" s="281"/>
      <c r="K9" s="282"/>
      <c r="L9" s="167" t="s">
        <v>20</v>
      </c>
      <c r="M9" s="168" t="s">
        <v>21</v>
      </c>
      <c r="N9" s="3"/>
      <c r="O9" s="6" t="s">
        <v>22</v>
      </c>
      <c r="P9" s="148"/>
      <c r="Q9" s="255"/>
      <c r="R9" s="3"/>
      <c r="S9" s="160">
        <v>1</v>
      </c>
      <c r="T9" s="289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</row>
    <row r="10" spans="2:61" s="1" customFormat="1" ht="17.25" customHeight="1" x14ac:dyDescent="0.2">
      <c r="B10" s="279"/>
      <c r="C10" s="280"/>
      <c r="D10" s="283"/>
      <c r="E10" s="284"/>
      <c r="F10" s="284"/>
      <c r="G10" s="284"/>
      <c r="H10" s="284"/>
      <c r="I10" s="284"/>
      <c r="J10" s="284"/>
      <c r="K10" s="285"/>
      <c r="L10" s="286"/>
      <c r="M10" s="287"/>
      <c r="N10" s="3"/>
      <c r="O10" s="6" t="s">
        <v>23</v>
      </c>
      <c r="P10" s="148" t="s">
        <v>83</v>
      </c>
      <c r="Q10" s="291"/>
      <c r="R10" s="3"/>
      <c r="S10" s="160">
        <v>2</v>
      </c>
      <c r="T10" s="289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</row>
    <row r="11" spans="2:61" s="1" customFormat="1" ht="17.25" customHeight="1" x14ac:dyDescent="0.2">
      <c r="B11" s="161">
        <v>1</v>
      </c>
      <c r="C11" s="292"/>
      <c r="D11" s="170" t="s">
        <v>84</v>
      </c>
      <c r="E11" s="177"/>
      <c r="F11" s="177"/>
      <c r="G11" s="177"/>
      <c r="H11" s="177"/>
      <c r="I11" s="177"/>
      <c r="J11" s="177"/>
      <c r="K11" s="178"/>
      <c r="L11" s="11" t="s">
        <v>78</v>
      </c>
      <c r="M11" s="75">
        <v>2000000</v>
      </c>
      <c r="N11" s="3"/>
      <c r="O11" s="6" t="s">
        <v>24</v>
      </c>
      <c r="P11" s="148" t="s">
        <v>85</v>
      </c>
      <c r="Q11" s="291"/>
      <c r="R11" s="3"/>
      <c r="S11" s="160">
        <v>3</v>
      </c>
      <c r="T11" s="289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</row>
    <row r="12" spans="2:61" s="1" customFormat="1" ht="17.25" customHeight="1" x14ac:dyDescent="0.2">
      <c r="B12" s="174">
        <f t="shared" ref="B12:B21" si="0">B11+1</f>
        <v>2</v>
      </c>
      <c r="C12" s="288"/>
      <c r="D12" s="170" t="s">
        <v>86</v>
      </c>
      <c r="E12" s="177"/>
      <c r="F12" s="177"/>
      <c r="G12" s="177"/>
      <c r="H12" s="177"/>
      <c r="I12" s="177"/>
      <c r="J12" s="177"/>
      <c r="K12" s="178"/>
      <c r="L12" s="11" t="s">
        <v>78</v>
      </c>
      <c r="M12" s="75">
        <v>1000000</v>
      </c>
      <c r="N12" s="3"/>
      <c r="O12" s="6" t="s">
        <v>25</v>
      </c>
      <c r="P12" s="148"/>
      <c r="Q12" s="255"/>
      <c r="R12" s="3"/>
      <c r="S12" s="160">
        <v>4</v>
      </c>
      <c r="T12" s="289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</row>
    <row r="13" spans="2:61" s="1" customFormat="1" ht="17.25" customHeight="1" x14ac:dyDescent="0.2">
      <c r="B13" s="175">
        <f t="shared" si="0"/>
        <v>3</v>
      </c>
      <c r="C13" s="290"/>
      <c r="D13" s="170" t="s">
        <v>87</v>
      </c>
      <c r="E13" s="177"/>
      <c r="F13" s="177"/>
      <c r="G13" s="177"/>
      <c r="H13" s="177"/>
      <c r="I13" s="177"/>
      <c r="J13" s="177"/>
      <c r="K13" s="178"/>
      <c r="L13" s="11" t="s">
        <v>78</v>
      </c>
      <c r="M13" s="75">
        <v>4000000</v>
      </c>
      <c r="N13" s="3"/>
      <c r="O13" s="6" t="s">
        <v>26</v>
      </c>
      <c r="P13" s="148"/>
      <c r="Q13" s="255"/>
      <c r="R13" s="3"/>
      <c r="S13" s="160">
        <v>5</v>
      </c>
      <c r="T13" s="289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</row>
    <row r="14" spans="2:61" s="1" customFormat="1" ht="17.25" customHeight="1" x14ac:dyDescent="0.2">
      <c r="B14" s="169">
        <f t="shared" si="0"/>
        <v>4</v>
      </c>
      <c r="C14" s="295"/>
      <c r="D14" s="170" t="s">
        <v>88</v>
      </c>
      <c r="E14" s="177"/>
      <c r="F14" s="177"/>
      <c r="G14" s="177"/>
      <c r="H14" s="177"/>
      <c r="I14" s="177"/>
      <c r="J14" s="177"/>
      <c r="K14" s="178"/>
      <c r="L14" s="11" t="s">
        <v>78</v>
      </c>
      <c r="M14" s="75">
        <v>800000</v>
      </c>
      <c r="N14" s="3"/>
      <c r="O14" s="6" t="s">
        <v>27</v>
      </c>
      <c r="P14" s="148" t="s">
        <v>89</v>
      </c>
      <c r="Q14" s="255"/>
      <c r="R14" s="3"/>
      <c r="S14" s="160">
        <v>6</v>
      </c>
      <c r="T14" s="289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</row>
    <row r="15" spans="2:61" s="1" customFormat="1" ht="17.25" customHeight="1" x14ac:dyDescent="0.2">
      <c r="B15" s="173">
        <f t="shared" si="0"/>
        <v>5</v>
      </c>
      <c r="C15" s="296"/>
      <c r="D15" s="170" t="s">
        <v>90</v>
      </c>
      <c r="E15" s="177"/>
      <c r="F15" s="177"/>
      <c r="G15" s="177"/>
      <c r="H15" s="177"/>
      <c r="I15" s="177"/>
      <c r="J15" s="177"/>
      <c r="K15" s="178"/>
      <c r="L15" s="11" t="s">
        <v>91</v>
      </c>
      <c r="M15" s="75">
        <v>4000000</v>
      </c>
      <c r="N15" s="3"/>
      <c r="O15" s="6" t="s">
        <v>28</v>
      </c>
      <c r="P15" s="148"/>
      <c r="Q15" s="255"/>
      <c r="R15" s="3"/>
      <c r="S15" s="160">
        <v>7</v>
      </c>
      <c r="T15" s="289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</row>
    <row r="16" spans="2:61" s="1" customFormat="1" ht="17.25" customHeight="1" x14ac:dyDescent="0.2">
      <c r="B16" s="180">
        <f t="shared" si="0"/>
        <v>6</v>
      </c>
      <c r="C16" s="293"/>
      <c r="D16" s="170" t="s">
        <v>92</v>
      </c>
      <c r="E16" s="177"/>
      <c r="F16" s="177"/>
      <c r="G16" s="177"/>
      <c r="H16" s="177"/>
      <c r="I16" s="177"/>
      <c r="J16" s="177"/>
      <c r="K16" s="178"/>
      <c r="L16" s="11" t="s">
        <v>91</v>
      </c>
      <c r="M16" s="75">
        <v>1000000</v>
      </c>
      <c r="N16" s="3"/>
      <c r="O16" s="6" t="s">
        <v>29</v>
      </c>
      <c r="P16" s="148"/>
      <c r="Q16" s="255"/>
      <c r="R16" s="3"/>
      <c r="S16" s="160">
        <v>8</v>
      </c>
      <c r="T16" s="289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</row>
    <row r="17" spans="2:72" s="1" customFormat="1" ht="17.25" customHeight="1" x14ac:dyDescent="0.2">
      <c r="B17" s="182">
        <f t="shared" si="0"/>
        <v>7</v>
      </c>
      <c r="C17" s="294"/>
      <c r="D17" s="170" t="s">
        <v>93</v>
      </c>
      <c r="E17" s="177"/>
      <c r="F17" s="177"/>
      <c r="G17" s="177"/>
      <c r="H17" s="177"/>
      <c r="I17" s="177"/>
      <c r="J17" s="177"/>
      <c r="K17" s="178"/>
      <c r="L17" s="11" t="s">
        <v>91</v>
      </c>
      <c r="M17" s="75">
        <v>2000000</v>
      </c>
      <c r="N17" s="3"/>
      <c r="O17" s="6" t="s">
        <v>30</v>
      </c>
      <c r="P17" s="148"/>
      <c r="Q17" s="255"/>
      <c r="R17" s="3"/>
      <c r="S17" s="160">
        <v>9</v>
      </c>
      <c r="T17" s="289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</row>
    <row r="18" spans="2:72" s="1" customFormat="1" ht="17.25" customHeight="1" x14ac:dyDescent="0.2">
      <c r="B18" s="176">
        <f t="shared" si="0"/>
        <v>8</v>
      </c>
      <c r="C18" s="301"/>
      <c r="D18" s="170" t="s">
        <v>94</v>
      </c>
      <c r="E18" s="177"/>
      <c r="F18" s="177"/>
      <c r="G18" s="177"/>
      <c r="H18" s="177"/>
      <c r="I18" s="177"/>
      <c r="J18" s="177"/>
      <c r="K18" s="178"/>
      <c r="L18" s="11" t="s">
        <v>95</v>
      </c>
      <c r="M18" s="75">
        <v>6000000</v>
      </c>
      <c r="N18" s="3"/>
      <c r="O18" s="6" t="s">
        <v>31</v>
      </c>
      <c r="P18" s="148"/>
      <c r="Q18" s="255"/>
      <c r="R18" s="3"/>
      <c r="S18" s="160">
        <v>10</v>
      </c>
      <c r="T18" s="289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</row>
    <row r="19" spans="2:72" s="1" customFormat="1" ht="17.25" customHeight="1" x14ac:dyDescent="0.2">
      <c r="B19" s="179">
        <f t="shared" si="0"/>
        <v>9</v>
      </c>
      <c r="C19" s="302"/>
      <c r="D19" s="170" t="s">
        <v>96</v>
      </c>
      <c r="E19" s="177"/>
      <c r="F19" s="177"/>
      <c r="G19" s="177"/>
      <c r="H19" s="177"/>
      <c r="I19" s="177"/>
      <c r="J19" s="177"/>
      <c r="K19" s="178"/>
      <c r="L19" s="11" t="s">
        <v>95</v>
      </c>
      <c r="M19" s="75">
        <v>1000000</v>
      </c>
      <c r="N19" s="3"/>
      <c r="O19" s="6" t="s">
        <v>32</v>
      </c>
      <c r="P19" s="148"/>
      <c r="Q19" s="255"/>
      <c r="R19" s="3"/>
      <c r="S19" s="160">
        <v>11</v>
      </c>
      <c r="T19" s="289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</row>
    <row r="20" spans="2:72" s="1" customFormat="1" ht="17.25" customHeight="1" thickBot="1" x14ac:dyDescent="0.25">
      <c r="B20" s="183">
        <f t="shared" si="0"/>
        <v>10</v>
      </c>
      <c r="C20" s="297"/>
      <c r="D20" s="170" t="s">
        <v>97</v>
      </c>
      <c r="E20" s="177"/>
      <c r="F20" s="177"/>
      <c r="G20" s="177"/>
      <c r="H20" s="177"/>
      <c r="I20" s="177"/>
      <c r="J20" s="177"/>
      <c r="K20" s="178"/>
      <c r="L20" s="11" t="s">
        <v>95</v>
      </c>
      <c r="M20" s="75">
        <v>2150000</v>
      </c>
      <c r="N20" s="3"/>
      <c r="O20" s="10" t="s">
        <v>33</v>
      </c>
      <c r="P20" s="154"/>
      <c r="Q20" s="266"/>
      <c r="R20" s="3"/>
      <c r="S20" s="185">
        <v>12</v>
      </c>
      <c r="T20" s="298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</row>
    <row r="21" spans="2:72" s="1" customFormat="1" ht="17.25" customHeight="1" thickBot="1" x14ac:dyDescent="0.25">
      <c r="B21" s="299">
        <f t="shared" si="0"/>
        <v>11</v>
      </c>
      <c r="C21" s="300"/>
      <c r="D21" s="170" t="s">
        <v>98</v>
      </c>
      <c r="E21" s="177"/>
      <c r="F21" s="177"/>
      <c r="G21" s="177"/>
      <c r="H21" s="177"/>
      <c r="I21" s="177"/>
      <c r="J21" s="177"/>
      <c r="K21" s="178"/>
      <c r="L21" s="11" t="s">
        <v>95</v>
      </c>
      <c r="M21" s="75">
        <v>800000</v>
      </c>
      <c r="N21" s="3"/>
      <c r="O21" s="77"/>
      <c r="P21" s="78"/>
      <c r="Q21" s="78"/>
      <c r="R21" s="3"/>
      <c r="S21" s="79"/>
      <c r="T21" s="79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2:72" s="1" customFormat="1" ht="17.25" customHeight="1" thickBot="1" x14ac:dyDescent="0.25">
      <c r="B22" s="299">
        <v>12</v>
      </c>
      <c r="C22" s="300"/>
      <c r="D22" s="170" t="s">
        <v>99</v>
      </c>
      <c r="E22" s="177"/>
      <c r="F22" s="177"/>
      <c r="G22" s="177"/>
      <c r="H22" s="177"/>
      <c r="I22" s="177"/>
      <c r="J22" s="177"/>
      <c r="K22" s="178"/>
      <c r="L22" s="11" t="s">
        <v>78</v>
      </c>
      <c r="M22" s="75">
        <v>500000</v>
      </c>
      <c r="N22" s="3"/>
      <c r="O22" s="77"/>
      <c r="P22" s="78"/>
      <c r="Q22" s="78"/>
      <c r="R22" s="3"/>
      <c r="S22" s="79"/>
      <c r="T22" s="79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2:72" s="1" customFormat="1" ht="17.25" customHeight="1" thickBot="1" x14ac:dyDescent="0.25">
      <c r="B23" s="299">
        <v>13</v>
      </c>
      <c r="C23" s="300"/>
      <c r="D23" s="170" t="s">
        <v>100</v>
      </c>
      <c r="E23" s="177"/>
      <c r="F23" s="177"/>
      <c r="G23" s="177"/>
      <c r="H23" s="177"/>
      <c r="I23" s="177"/>
      <c r="J23" s="177"/>
      <c r="K23" s="178"/>
      <c r="L23" s="11" t="s">
        <v>78</v>
      </c>
      <c r="M23" s="75">
        <v>300000</v>
      </c>
      <c r="N23" s="3"/>
      <c r="O23" s="77"/>
      <c r="P23" s="78"/>
      <c r="Q23" s="78"/>
      <c r="R23" s="3"/>
      <c r="S23" s="79"/>
      <c r="T23" s="79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</row>
    <row r="24" spans="2:72" s="1" customFormat="1" ht="17.25" customHeight="1" thickBot="1" x14ac:dyDescent="0.25">
      <c r="B24" s="299">
        <v>14</v>
      </c>
      <c r="C24" s="300"/>
      <c r="D24" s="170" t="s">
        <v>101</v>
      </c>
      <c r="E24" s="177"/>
      <c r="F24" s="177"/>
      <c r="G24" s="177"/>
      <c r="H24" s="177"/>
      <c r="I24" s="177"/>
      <c r="J24" s="177"/>
      <c r="K24" s="178"/>
      <c r="L24" s="11" t="s">
        <v>91</v>
      </c>
      <c r="M24" s="75">
        <v>300000</v>
      </c>
      <c r="N24" s="3"/>
      <c r="O24" s="77"/>
      <c r="P24" s="78"/>
      <c r="Q24" s="78"/>
      <c r="R24" s="3"/>
      <c r="S24" s="79"/>
      <c r="T24" s="79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</row>
    <row r="25" spans="2:72" s="1" customFormat="1" ht="17.25" customHeight="1" thickBot="1" x14ac:dyDescent="0.25">
      <c r="B25" s="299">
        <v>15</v>
      </c>
      <c r="C25" s="300">
        <v>15</v>
      </c>
      <c r="D25" s="170" t="s">
        <v>102</v>
      </c>
      <c r="E25" s="177"/>
      <c r="F25" s="177"/>
      <c r="G25" s="177"/>
      <c r="H25" s="177"/>
      <c r="I25" s="177"/>
      <c r="J25" s="177"/>
      <c r="K25" s="178"/>
      <c r="L25" s="11" t="s">
        <v>91</v>
      </c>
      <c r="M25" s="75">
        <v>1000000</v>
      </c>
      <c r="N25" s="3"/>
      <c r="O25" s="77"/>
      <c r="P25" s="78"/>
      <c r="Q25" s="78"/>
      <c r="R25" s="3"/>
      <c r="S25" s="79"/>
      <c r="T25" s="79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</row>
    <row r="26" spans="2:72" s="1" customFormat="1" ht="17.25" customHeight="1" thickBot="1" x14ac:dyDescent="0.25">
      <c r="B26" s="299">
        <v>16</v>
      </c>
      <c r="C26" s="300"/>
      <c r="D26" s="170" t="s">
        <v>103</v>
      </c>
      <c r="E26" s="177"/>
      <c r="F26" s="177"/>
      <c r="G26" s="177"/>
      <c r="H26" s="177"/>
      <c r="I26" s="177"/>
      <c r="J26" s="177"/>
      <c r="K26" s="178"/>
      <c r="L26" s="11" t="s">
        <v>91</v>
      </c>
      <c r="M26" s="75">
        <v>300000</v>
      </c>
      <c r="N26" s="3"/>
      <c r="O26" s="77"/>
      <c r="P26" s="78"/>
      <c r="Q26" s="78"/>
      <c r="R26" s="3"/>
      <c r="S26" s="79"/>
      <c r="T26" s="79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</row>
    <row r="27" spans="2:72" s="1" customFormat="1" ht="17.25" customHeight="1" thickBot="1" x14ac:dyDescent="0.25">
      <c r="B27" s="299">
        <v>17</v>
      </c>
      <c r="C27" s="300"/>
      <c r="D27" s="170" t="s">
        <v>104</v>
      </c>
      <c r="E27" s="177"/>
      <c r="F27" s="177"/>
      <c r="G27" s="177"/>
      <c r="H27" s="177"/>
      <c r="I27" s="177"/>
      <c r="J27" s="177"/>
      <c r="K27" s="178"/>
      <c r="L27" s="11" t="s">
        <v>95</v>
      </c>
      <c r="M27" s="75">
        <v>5000000</v>
      </c>
      <c r="N27" s="3"/>
      <c r="O27" s="77"/>
      <c r="P27" s="78"/>
      <c r="Q27" s="78"/>
      <c r="R27" s="3"/>
      <c r="S27" s="79"/>
      <c r="T27" s="79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</row>
    <row r="28" spans="2:72" s="1" customFormat="1" ht="17.25" customHeight="1" thickBot="1" x14ac:dyDescent="0.25">
      <c r="B28" s="299">
        <v>18</v>
      </c>
      <c r="C28" s="300"/>
      <c r="D28" s="170" t="s">
        <v>105</v>
      </c>
      <c r="E28" s="177"/>
      <c r="F28" s="177"/>
      <c r="G28" s="177"/>
      <c r="H28" s="177"/>
      <c r="I28" s="177"/>
      <c r="J28" s="177"/>
      <c r="K28" s="178"/>
      <c r="L28" s="11" t="s">
        <v>95</v>
      </c>
      <c r="M28" s="75">
        <v>2000000</v>
      </c>
      <c r="N28" s="3"/>
      <c r="O28" s="77"/>
      <c r="P28" s="78"/>
      <c r="Q28" s="78"/>
      <c r="R28" s="3"/>
      <c r="S28" s="79"/>
      <c r="T28" s="79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</row>
    <row r="29" spans="2:72" s="1" customFormat="1" ht="17.25" customHeight="1" thickBot="1" x14ac:dyDescent="0.25">
      <c r="B29" s="299">
        <v>19</v>
      </c>
      <c r="C29" s="300"/>
      <c r="D29" s="170" t="s">
        <v>106</v>
      </c>
      <c r="E29" s="177"/>
      <c r="F29" s="177"/>
      <c r="G29" s="177"/>
      <c r="H29" s="177"/>
      <c r="I29" s="177"/>
      <c r="J29" s="177"/>
      <c r="K29" s="178"/>
      <c r="L29" s="11" t="s">
        <v>91</v>
      </c>
      <c r="M29" s="75">
        <v>1000000</v>
      </c>
      <c r="N29" s="3"/>
      <c r="O29" s="77"/>
      <c r="P29" s="78"/>
      <c r="Q29" s="78"/>
      <c r="R29" s="3"/>
      <c r="S29" s="79"/>
      <c r="T29" s="79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</row>
    <row r="30" spans="2:72" s="1" customFormat="1" ht="30" customHeight="1" thickBot="1" x14ac:dyDescent="0.25">
      <c r="C30" s="2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</row>
    <row r="31" spans="2:72" s="1" customFormat="1" ht="46.5" customHeight="1" x14ac:dyDescent="0.2">
      <c r="B31" s="186" t="s">
        <v>34</v>
      </c>
      <c r="C31" s="187"/>
      <c r="D31" s="188" t="s">
        <v>107</v>
      </c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307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</row>
    <row r="32" spans="2:72" s="1" customFormat="1" ht="65.25" customHeight="1" thickBot="1" x14ac:dyDescent="0.25">
      <c r="B32" s="20" t="s">
        <v>36</v>
      </c>
      <c r="C32" s="303" t="s">
        <v>37</v>
      </c>
      <c r="D32" s="304"/>
      <c r="E32" s="305"/>
      <c r="F32" s="21" t="s">
        <v>39</v>
      </c>
      <c r="G32" s="303" t="s">
        <v>40</v>
      </c>
      <c r="H32" s="304"/>
      <c r="I32" s="305"/>
      <c r="J32" s="303" t="s">
        <v>41</v>
      </c>
      <c r="K32" s="304"/>
      <c r="L32" s="305"/>
      <c r="M32" s="21" t="s">
        <v>42</v>
      </c>
      <c r="N32" s="21" t="s">
        <v>43</v>
      </c>
      <c r="O32" s="21" t="s">
        <v>44</v>
      </c>
      <c r="P32" s="21" t="s">
        <v>45</v>
      </c>
      <c r="Q32" s="303" t="s">
        <v>46</v>
      </c>
      <c r="R32" s="304"/>
      <c r="S32" s="305"/>
      <c r="T32" s="22" t="s">
        <v>47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</row>
    <row r="33" spans="2:72" s="1" customFormat="1" ht="16.5" customHeight="1" x14ac:dyDescent="0.2">
      <c r="B33" s="23">
        <v>1</v>
      </c>
      <c r="C33" s="306" t="s">
        <v>108</v>
      </c>
      <c r="D33" s="306"/>
      <c r="E33" s="306"/>
      <c r="F33" s="81" t="s">
        <v>109</v>
      </c>
      <c r="G33" s="306" t="s">
        <v>110</v>
      </c>
      <c r="H33" s="306"/>
      <c r="I33" s="306"/>
      <c r="J33" s="306"/>
      <c r="K33" s="306"/>
      <c r="L33" s="306"/>
      <c r="M33" s="81" t="s">
        <v>111</v>
      </c>
      <c r="N33" s="81" t="s">
        <v>111</v>
      </c>
      <c r="O33" s="81" t="s">
        <v>111</v>
      </c>
      <c r="P33" s="80"/>
      <c r="Q33" s="306"/>
      <c r="R33" s="306"/>
      <c r="S33" s="306"/>
      <c r="T33" s="82">
        <v>0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</row>
    <row r="34" spans="2:72" s="1" customFormat="1" ht="16.5" customHeight="1" x14ac:dyDescent="0.2">
      <c r="B34" s="83">
        <v>1</v>
      </c>
      <c r="C34" s="311" t="s">
        <v>112</v>
      </c>
      <c r="D34" s="311"/>
      <c r="E34" s="311"/>
      <c r="F34" s="85" t="s">
        <v>113</v>
      </c>
      <c r="G34" s="311" t="s">
        <v>114</v>
      </c>
      <c r="H34" s="311"/>
      <c r="I34" s="311"/>
      <c r="J34" s="311"/>
      <c r="K34" s="311"/>
      <c r="L34" s="311"/>
      <c r="M34" s="85"/>
      <c r="N34" s="85"/>
      <c r="O34" s="85"/>
      <c r="P34" s="84"/>
      <c r="Q34" s="311"/>
      <c r="R34" s="311"/>
      <c r="S34" s="311"/>
      <c r="T34" s="86">
        <v>0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</row>
    <row r="35" spans="2:72" s="1" customFormat="1" ht="16.5" customHeight="1" x14ac:dyDescent="0.2">
      <c r="B35" s="83">
        <v>1</v>
      </c>
      <c r="C35" s="311" t="s">
        <v>115</v>
      </c>
      <c r="D35" s="311"/>
      <c r="E35" s="311"/>
      <c r="F35" s="85"/>
      <c r="G35" s="311"/>
      <c r="H35" s="311"/>
      <c r="I35" s="311"/>
      <c r="J35" s="311"/>
      <c r="K35" s="311"/>
      <c r="L35" s="311"/>
      <c r="M35" s="85"/>
      <c r="N35" s="85"/>
      <c r="O35" s="85"/>
      <c r="P35" s="84"/>
      <c r="Q35" s="311"/>
      <c r="R35" s="311"/>
      <c r="S35" s="311"/>
      <c r="T35" s="86">
        <v>0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</row>
    <row r="36" spans="2:72" s="1" customFormat="1" ht="16.5" customHeight="1" x14ac:dyDescent="0.2">
      <c r="B36" s="83">
        <v>1</v>
      </c>
      <c r="C36" s="80" t="s">
        <v>116</v>
      </c>
      <c r="D36" s="80"/>
      <c r="E36" s="80"/>
      <c r="F36" s="81" t="s">
        <v>111</v>
      </c>
      <c r="G36" s="308" t="s">
        <v>117</v>
      </c>
      <c r="H36" s="309"/>
      <c r="I36" s="310"/>
      <c r="J36" s="308"/>
      <c r="K36" s="309"/>
      <c r="L36" s="310"/>
      <c r="M36" s="81"/>
      <c r="N36" s="81"/>
      <c r="O36" s="81"/>
      <c r="P36" s="80"/>
      <c r="Q36" s="80"/>
      <c r="R36" s="80"/>
      <c r="S36" s="80"/>
      <c r="T36" s="82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</row>
    <row r="37" spans="2:72" s="1" customFormat="1" ht="16.5" customHeight="1" x14ac:dyDescent="0.2">
      <c r="B37" s="26">
        <v>2</v>
      </c>
      <c r="C37" s="311" t="s">
        <v>118</v>
      </c>
      <c r="D37" s="311"/>
      <c r="E37" s="311"/>
      <c r="F37" s="85" t="s">
        <v>111</v>
      </c>
      <c r="G37" s="311" t="s">
        <v>119</v>
      </c>
      <c r="H37" s="311"/>
      <c r="I37" s="311"/>
      <c r="J37" s="311"/>
      <c r="K37" s="311"/>
      <c r="L37" s="311"/>
      <c r="M37" s="85"/>
      <c r="N37" s="85"/>
      <c r="O37" s="85"/>
      <c r="P37" s="84"/>
      <c r="Q37" s="311"/>
      <c r="R37" s="311"/>
      <c r="S37" s="311"/>
      <c r="T37" s="86">
        <v>0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</row>
    <row r="38" spans="2:72" s="1" customFormat="1" ht="16.5" customHeight="1" x14ac:dyDescent="0.2">
      <c r="B38" s="26">
        <v>2</v>
      </c>
      <c r="C38" s="306" t="s">
        <v>120</v>
      </c>
      <c r="D38" s="306"/>
      <c r="E38" s="306"/>
      <c r="F38" s="81" t="s">
        <v>111</v>
      </c>
      <c r="G38" s="306" t="s">
        <v>121</v>
      </c>
      <c r="H38" s="306"/>
      <c r="I38" s="306"/>
      <c r="J38" s="306"/>
      <c r="K38" s="306"/>
      <c r="L38" s="306"/>
      <c r="M38" s="81"/>
      <c r="N38" s="81"/>
      <c r="O38" s="81"/>
      <c r="P38" s="80"/>
      <c r="Q38" s="306"/>
      <c r="R38" s="306"/>
      <c r="S38" s="306"/>
      <c r="T38" s="82">
        <v>0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</row>
    <row r="39" spans="2:72" s="1" customFormat="1" ht="16.5" customHeight="1" x14ac:dyDescent="0.2">
      <c r="B39" s="26">
        <v>2</v>
      </c>
      <c r="C39" s="306" t="s">
        <v>122</v>
      </c>
      <c r="D39" s="306"/>
      <c r="E39" s="306"/>
      <c r="F39" s="81" t="s">
        <v>123</v>
      </c>
      <c r="G39" s="306" t="s">
        <v>124</v>
      </c>
      <c r="H39" s="306"/>
      <c r="I39" s="306"/>
      <c r="J39" s="306"/>
      <c r="K39" s="306"/>
      <c r="L39" s="306"/>
      <c r="M39" s="81"/>
      <c r="N39" s="81"/>
      <c r="O39" s="81"/>
      <c r="P39" s="80"/>
      <c r="Q39" s="306"/>
      <c r="R39" s="306"/>
      <c r="S39" s="306"/>
      <c r="T39" s="82">
        <v>0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</row>
    <row r="40" spans="2:72" s="1" customFormat="1" ht="16.5" customHeight="1" x14ac:dyDescent="0.2">
      <c r="B40" s="26">
        <v>2</v>
      </c>
      <c r="C40" s="312" t="s">
        <v>125</v>
      </c>
      <c r="D40" s="312"/>
      <c r="E40" s="312"/>
      <c r="F40" s="88"/>
      <c r="G40" s="312" t="s">
        <v>126</v>
      </c>
      <c r="H40" s="312"/>
      <c r="I40" s="312"/>
      <c r="J40" s="312" t="s">
        <v>127</v>
      </c>
      <c r="K40" s="312"/>
      <c r="L40" s="312"/>
      <c r="M40" s="88" t="s">
        <v>123</v>
      </c>
      <c r="N40" s="88"/>
      <c r="O40" s="88" t="s">
        <v>128</v>
      </c>
      <c r="P40" s="87"/>
      <c r="Q40" s="312"/>
      <c r="R40" s="312"/>
      <c r="S40" s="312"/>
      <c r="T40" s="89">
        <v>0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</row>
    <row r="41" spans="2:72" s="1" customFormat="1" ht="16.5" customHeight="1" x14ac:dyDescent="0.2">
      <c r="B41" s="28">
        <v>3</v>
      </c>
      <c r="C41" s="306" t="s">
        <v>129</v>
      </c>
      <c r="D41" s="306"/>
      <c r="E41" s="306"/>
      <c r="F41" s="81" t="s">
        <v>111</v>
      </c>
      <c r="G41" s="306" t="s">
        <v>130</v>
      </c>
      <c r="H41" s="306"/>
      <c r="I41" s="306"/>
      <c r="J41" s="306"/>
      <c r="K41" s="306"/>
      <c r="L41" s="306"/>
      <c r="M41" s="81"/>
      <c r="N41" s="81"/>
      <c r="O41" s="81"/>
      <c r="P41" s="80"/>
      <c r="Q41" s="306"/>
      <c r="R41" s="306"/>
      <c r="S41" s="306"/>
      <c r="T41" s="82">
        <v>0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</row>
    <row r="42" spans="2:72" s="1" customFormat="1" ht="16.5" customHeight="1" x14ac:dyDescent="0.2">
      <c r="B42" s="28">
        <v>3</v>
      </c>
      <c r="C42" s="306" t="s">
        <v>131</v>
      </c>
      <c r="D42" s="306"/>
      <c r="E42" s="306"/>
      <c r="F42" s="81" t="s">
        <v>123</v>
      </c>
      <c r="G42" s="306" t="s">
        <v>132</v>
      </c>
      <c r="H42" s="306"/>
      <c r="I42" s="306"/>
      <c r="J42" s="306"/>
      <c r="K42" s="306"/>
      <c r="L42" s="306"/>
      <c r="M42" s="81"/>
      <c r="N42" s="81"/>
      <c r="O42" s="81"/>
      <c r="P42" s="80"/>
      <c r="Q42" s="306"/>
      <c r="R42" s="306"/>
      <c r="S42" s="306"/>
      <c r="T42" s="82">
        <v>1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</row>
    <row r="43" spans="2:72" s="1" customFormat="1" ht="16.5" customHeight="1" x14ac:dyDescent="0.2">
      <c r="B43" s="28">
        <v>3</v>
      </c>
      <c r="C43" s="313" t="s">
        <v>133</v>
      </c>
      <c r="D43" s="314"/>
      <c r="E43" s="315"/>
      <c r="F43" s="81" t="s">
        <v>123</v>
      </c>
      <c r="G43" s="313" t="s">
        <v>134</v>
      </c>
      <c r="H43" s="314"/>
      <c r="I43" s="315"/>
      <c r="J43" s="80"/>
      <c r="K43" s="80"/>
      <c r="L43" s="80"/>
      <c r="M43" s="81"/>
      <c r="N43" s="81"/>
      <c r="O43" s="81"/>
      <c r="P43" s="80"/>
      <c r="Q43" s="80"/>
      <c r="R43" s="80"/>
      <c r="S43" s="80"/>
      <c r="T43" s="82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</row>
    <row r="44" spans="2:72" s="76" customFormat="1" ht="16.5" customHeight="1" x14ac:dyDescent="0.2">
      <c r="B44" s="90">
        <v>3</v>
      </c>
      <c r="C44" s="306" t="s">
        <v>135</v>
      </c>
      <c r="D44" s="306"/>
      <c r="E44" s="306"/>
      <c r="F44" s="81"/>
      <c r="G44" s="306" t="s">
        <v>136</v>
      </c>
      <c r="H44" s="306"/>
      <c r="I44" s="306"/>
      <c r="J44" s="306"/>
      <c r="K44" s="306"/>
      <c r="L44" s="306"/>
      <c r="M44" s="81"/>
      <c r="N44" s="81"/>
      <c r="O44" s="81"/>
      <c r="P44" s="80"/>
      <c r="Q44" s="306"/>
      <c r="R44" s="306"/>
      <c r="S44" s="306"/>
      <c r="T44" s="82">
        <v>0</v>
      </c>
    </row>
    <row r="45" spans="2:72" s="1" customFormat="1" ht="16.5" customHeight="1" x14ac:dyDescent="0.2">
      <c r="B45" s="91">
        <v>4</v>
      </c>
      <c r="C45" s="311" t="s">
        <v>112</v>
      </c>
      <c r="D45" s="311"/>
      <c r="E45" s="311"/>
      <c r="F45" s="85"/>
      <c r="G45" s="311" t="s">
        <v>137</v>
      </c>
      <c r="H45" s="311"/>
      <c r="I45" s="311"/>
      <c r="J45" s="311"/>
      <c r="K45" s="311"/>
      <c r="L45" s="311"/>
      <c r="M45" s="85"/>
      <c r="N45" s="85"/>
      <c r="O45" s="85"/>
      <c r="P45" s="84"/>
      <c r="Q45" s="311"/>
      <c r="R45" s="311"/>
      <c r="S45" s="311"/>
      <c r="T45" s="86">
        <v>0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</row>
    <row r="46" spans="2:72" s="1" customFormat="1" ht="16.5" customHeight="1" x14ac:dyDescent="0.2">
      <c r="B46" s="91">
        <v>4</v>
      </c>
      <c r="C46" s="311" t="s">
        <v>138</v>
      </c>
      <c r="D46" s="311"/>
      <c r="E46" s="311"/>
      <c r="F46" s="85"/>
      <c r="G46" s="311" t="s">
        <v>139</v>
      </c>
      <c r="H46" s="311"/>
      <c r="I46" s="311"/>
      <c r="J46" s="311"/>
      <c r="K46" s="311"/>
      <c r="L46" s="311"/>
      <c r="M46" s="85"/>
      <c r="N46" s="85"/>
      <c r="O46" s="85"/>
      <c r="P46" s="84"/>
      <c r="Q46" s="311"/>
      <c r="R46" s="311"/>
      <c r="S46" s="311"/>
      <c r="T46" s="86">
        <v>0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</row>
    <row r="47" spans="2:72" s="1" customFormat="1" ht="16.5" customHeight="1" x14ac:dyDescent="0.2">
      <c r="B47" s="91">
        <v>4</v>
      </c>
      <c r="C47" s="311" t="s">
        <v>140</v>
      </c>
      <c r="D47" s="311"/>
      <c r="E47" s="311"/>
      <c r="F47" s="85"/>
      <c r="G47" s="311" t="s">
        <v>141</v>
      </c>
      <c r="H47" s="311"/>
      <c r="I47" s="311"/>
      <c r="J47" s="311"/>
      <c r="K47" s="311"/>
      <c r="L47" s="311"/>
      <c r="M47" s="85"/>
      <c r="N47" s="85"/>
      <c r="O47" s="85"/>
      <c r="P47" s="84"/>
      <c r="Q47" s="311"/>
      <c r="R47" s="311"/>
      <c r="S47" s="311"/>
      <c r="T47" s="86">
        <v>0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</row>
    <row r="48" spans="2:72" s="76" customFormat="1" ht="16.5" customHeight="1" x14ac:dyDescent="0.2">
      <c r="B48" s="30">
        <v>5</v>
      </c>
      <c r="C48" s="306" t="s">
        <v>142</v>
      </c>
      <c r="D48" s="306"/>
      <c r="E48" s="306"/>
      <c r="F48" s="81" t="s">
        <v>111</v>
      </c>
      <c r="G48" s="306" t="s">
        <v>143</v>
      </c>
      <c r="H48" s="306"/>
      <c r="I48" s="306"/>
      <c r="J48" s="306"/>
      <c r="K48" s="306"/>
      <c r="L48" s="306"/>
      <c r="M48" s="81"/>
      <c r="N48" s="81"/>
      <c r="O48" s="81"/>
      <c r="P48" s="80"/>
      <c r="Q48" s="306"/>
      <c r="R48" s="306"/>
      <c r="S48" s="306"/>
      <c r="T48" s="82">
        <v>0</v>
      </c>
    </row>
    <row r="49" spans="2:72" s="1" customFormat="1" ht="16.5" customHeight="1" x14ac:dyDescent="0.2">
      <c r="B49" s="30">
        <v>5</v>
      </c>
      <c r="C49" s="306" t="s">
        <v>144</v>
      </c>
      <c r="D49" s="306"/>
      <c r="E49" s="306"/>
      <c r="F49" s="81" t="s">
        <v>111</v>
      </c>
      <c r="G49" s="306" t="s">
        <v>145</v>
      </c>
      <c r="H49" s="306"/>
      <c r="I49" s="306"/>
      <c r="J49" s="306"/>
      <c r="K49" s="306"/>
      <c r="L49" s="306"/>
      <c r="M49" s="81"/>
      <c r="N49" s="81"/>
      <c r="O49" s="81"/>
      <c r="P49" s="80"/>
      <c r="Q49" s="306"/>
      <c r="R49" s="306"/>
      <c r="S49" s="306"/>
      <c r="T49" s="82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</row>
    <row r="50" spans="2:72" s="1" customFormat="1" ht="16.5" customHeight="1" x14ac:dyDescent="0.2">
      <c r="B50" s="30">
        <v>5</v>
      </c>
      <c r="C50" s="80" t="s">
        <v>146</v>
      </c>
      <c r="D50" s="80"/>
      <c r="E50" s="80"/>
      <c r="F50" s="81" t="s">
        <v>111</v>
      </c>
      <c r="G50" s="313" t="s">
        <v>147</v>
      </c>
      <c r="H50" s="314"/>
      <c r="I50" s="315"/>
      <c r="J50" s="80"/>
      <c r="K50" s="80"/>
      <c r="L50" s="80"/>
      <c r="M50" s="81"/>
      <c r="N50" s="81"/>
      <c r="O50" s="81"/>
      <c r="P50" s="80"/>
      <c r="Q50" s="80"/>
      <c r="R50" s="80"/>
      <c r="S50" s="80"/>
      <c r="T50" s="82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</row>
    <row r="51" spans="2:72" s="1" customFormat="1" ht="16.5" customHeight="1" x14ac:dyDescent="0.2">
      <c r="B51" s="30">
        <v>5</v>
      </c>
      <c r="C51" s="306" t="s">
        <v>148</v>
      </c>
      <c r="D51" s="306"/>
      <c r="E51" s="306"/>
      <c r="F51" s="81" t="s">
        <v>111</v>
      </c>
      <c r="G51" s="306" t="s">
        <v>149</v>
      </c>
      <c r="H51" s="306"/>
      <c r="I51" s="306"/>
      <c r="J51" s="306"/>
      <c r="K51" s="306"/>
      <c r="L51" s="306"/>
      <c r="M51" s="81"/>
      <c r="N51" s="81"/>
      <c r="O51" s="81"/>
      <c r="P51" s="80"/>
      <c r="Q51" s="306"/>
      <c r="R51" s="306"/>
      <c r="S51" s="306"/>
      <c r="T51" s="82">
        <v>0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</row>
    <row r="52" spans="2:72" s="1" customFormat="1" ht="16.5" customHeight="1" x14ac:dyDescent="0.2">
      <c r="B52" s="30">
        <v>5</v>
      </c>
      <c r="C52" s="311" t="s">
        <v>150</v>
      </c>
      <c r="D52" s="311"/>
      <c r="E52" s="311"/>
      <c r="F52" s="85"/>
      <c r="G52" s="311"/>
      <c r="H52" s="311"/>
      <c r="I52" s="311"/>
      <c r="J52" s="311"/>
      <c r="K52" s="311"/>
      <c r="L52" s="311"/>
      <c r="M52" s="85"/>
      <c r="N52" s="85"/>
      <c r="O52" s="85"/>
      <c r="P52" s="84"/>
      <c r="Q52" s="311"/>
      <c r="R52" s="311"/>
      <c r="S52" s="311"/>
      <c r="T52" s="86">
        <v>0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</row>
    <row r="53" spans="2:72" s="1" customFormat="1" ht="16.5" customHeight="1" x14ac:dyDescent="0.2">
      <c r="B53" s="31">
        <v>6</v>
      </c>
      <c r="C53" s="306" t="s">
        <v>151</v>
      </c>
      <c r="D53" s="306"/>
      <c r="E53" s="306"/>
      <c r="F53" s="81" t="s">
        <v>111</v>
      </c>
      <c r="G53" s="306" t="s">
        <v>152</v>
      </c>
      <c r="H53" s="306"/>
      <c r="I53" s="306"/>
      <c r="J53" s="306"/>
      <c r="K53" s="306"/>
      <c r="L53" s="306"/>
      <c r="M53" s="81"/>
      <c r="N53" s="81"/>
      <c r="O53" s="81"/>
      <c r="P53" s="80"/>
      <c r="Q53" s="306"/>
      <c r="R53" s="306"/>
      <c r="S53" s="306"/>
      <c r="T53" s="82">
        <v>0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</row>
    <row r="54" spans="2:72" s="1" customFormat="1" ht="16.5" customHeight="1" x14ac:dyDescent="0.2">
      <c r="B54" s="31">
        <v>6</v>
      </c>
      <c r="C54" s="311" t="s">
        <v>153</v>
      </c>
      <c r="D54" s="311"/>
      <c r="E54" s="311"/>
      <c r="F54" s="85"/>
      <c r="G54" s="311"/>
      <c r="H54" s="311"/>
      <c r="I54" s="311"/>
      <c r="J54" s="311"/>
      <c r="K54" s="311"/>
      <c r="L54" s="311"/>
      <c r="M54" s="85"/>
      <c r="N54" s="85"/>
      <c r="O54" s="85"/>
      <c r="P54" s="84"/>
      <c r="Q54" s="311"/>
      <c r="R54" s="311"/>
      <c r="S54" s="311"/>
      <c r="T54" s="86">
        <v>0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</row>
    <row r="55" spans="2:72" s="1" customFormat="1" ht="16.5" customHeight="1" x14ac:dyDescent="0.2">
      <c r="B55" s="31">
        <v>6</v>
      </c>
      <c r="C55" s="311" t="s">
        <v>154</v>
      </c>
      <c r="D55" s="311"/>
      <c r="E55" s="311"/>
      <c r="F55" s="85"/>
      <c r="G55" s="311"/>
      <c r="H55" s="311"/>
      <c r="I55" s="311"/>
      <c r="J55" s="311"/>
      <c r="K55" s="311"/>
      <c r="L55" s="311"/>
      <c r="M55" s="85"/>
      <c r="N55" s="85"/>
      <c r="O55" s="85"/>
      <c r="P55" s="84"/>
      <c r="Q55" s="311"/>
      <c r="R55" s="311"/>
      <c r="S55" s="311"/>
      <c r="T55" s="86">
        <v>0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</row>
    <row r="56" spans="2:72" s="1" customFormat="1" ht="16.5" customHeight="1" x14ac:dyDescent="0.2">
      <c r="B56" s="32">
        <v>7</v>
      </c>
      <c r="C56" s="311" t="s">
        <v>155</v>
      </c>
      <c r="D56" s="311"/>
      <c r="E56" s="311"/>
      <c r="F56" s="85"/>
      <c r="G56" s="311" t="s">
        <v>156</v>
      </c>
      <c r="H56" s="311"/>
      <c r="I56" s="311"/>
      <c r="J56" s="311"/>
      <c r="K56" s="311"/>
      <c r="L56" s="311"/>
      <c r="M56" s="85"/>
      <c r="N56" s="85"/>
      <c r="O56" s="85"/>
      <c r="P56" s="84"/>
      <c r="Q56" s="311"/>
      <c r="R56" s="311"/>
      <c r="S56" s="311"/>
      <c r="T56" s="86">
        <v>0</v>
      </c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</row>
    <row r="57" spans="2:72" s="1" customFormat="1" ht="16.5" customHeight="1" x14ac:dyDescent="0.2">
      <c r="B57" s="32">
        <v>7</v>
      </c>
      <c r="C57" s="80" t="s">
        <v>157</v>
      </c>
      <c r="D57" s="80"/>
      <c r="E57" s="80"/>
      <c r="F57" s="81" t="s">
        <v>111</v>
      </c>
      <c r="G57" s="313" t="s">
        <v>158</v>
      </c>
      <c r="H57" s="314"/>
      <c r="I57" s="315"/>
      <c r="J57" s="80"/>
      <c r="K57" s="80"/>
      <c r="L57" s="80"/>
      <c r="M57" s="81"/>
      <c r="N57" s="81"/>
      <c r="O57" s="81"/>
      <c r="P57" s="80"/>
      <c r="Q57" s="80"/>
      <c r="R57" s="84"/>
      <c r="S57" s="84"/>
      <c r="T57" s="86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</row>
    <row r="58" spans="2:72" s="1" customFormat="1" ht="16.5" customHeight="1" x14ac:dyDescent="0.2">
      <c r="B58" s="32">
        <v>7</v>
      </c>
      <c r="C58" s="306" t="s">
        <v>159</v>
      </c>
      <c r="D58" s="306"/>
      <c r="E58" s="306"/>
      <c r="F58" s="81" t="s">
        <v>160</v>
      </c>
      <c r="G58" s="306" t="s">
        <v>161</v>
      </c>
      <c r="H58" s="306"/>
      <c r="I58" s="306"/>
      <c r="J58" s="306"/>
      <c r="K58" s="306"/>
      <c r="L58" s="306"/>
      <c r="M58" s="81"/>
      <c r="N58" s="81"/>
      <c r="O58" s="81"/>
      <c r="P58" s="80"/>
      <c r="Q58" s="306"/>
      <c r="R58" s="306"/>
      <c r="S58" s="306"/>
      <c r="T58" s="82">
        <v>0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</row>
    <row r="59" spans="2:72" s="1" customFormat="1" ht="16.5" customHeight="1" x14ac:dyDescent="0.2">
      <c r="B59" s="32">
        <v>7</v>
      </c>
      <c r="C59" s="306" t="s">
        <v>154</v>
      </c>
      <c r="D59" s="306"/>
      <c r="E59" s="306"/>
      <c r="F59" s="81" t="s">
        <v>111</v>
      </c>
      <c r="G59" s="306" t="s">
        <v>162</v>
      </c>
      <c r="H59" s="306"/>
      <c r="I59" s="306"/>
      <c r="J59" s="311"/>
      <c r="K59" s="311"/>
      <c r="L59" s="311"/>
      <c r="M59" s="85"/>
      <c r="N59" s="85"/>
      <c r="O59" s="85"/>
      <c r="P59" s="84"/>
      <c r="Q59" s="311"/>
      <c r="R59" s="311"/>
      <c r="S59" s="311"/>
      <c r="T59" s="86">
        <v>0</v>
      </c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</row>
    <row r="60" spans="2:72" s="1" customFormat="1" ht="16.5" customHeight="1" x14ac:dyDescent="0.2">
      <c r="B60" s="33">
        <v>8</v>
      </c>
      <c r="C60" s="311" t="s">
        <v>163</v>
      </c>
      <c r="D60" s="311"/>
      <c r="E60" s="311"/>
      <c r="F60" s="85"/>
      <c r="G60" s="311"/>
      <c r="H60" s="311"/>
      <c r="I60" s="311"/>
      <c r="J60" s="311"/>
      <c r="K60" s="311"/>
      <c r="L60" s="311"/>
      <c r="M60" s="85"/>
      <c r="N60" s="85"/>
      <c r="O60" s="85"/>
      <c r="P60" s="84"/>
      <c r="Q60" s="311"/>
      <c r="R60" s="311"/>
      <c r="S60" s="311"/>
      <c r="T60" s="86">
        <v>0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</row>
    <row r="61" spans="2:72" s="1" customFormat="1" ht="16.5" customHeight="1" x14ac:dyDescent="0.2">
      <c r="B61" s="33">
        <v>8</v>
      </c>
      <c r="C61" s="313" t="s">
        <v>164</v>
      </c>
      <c r="D61" s="314"/>
      <c r="E61" s="315"/>
      <c r="F61" s="81"/>
      <c r="G61" s="313" t="s">
        <v>165</v>
      </c>
      <c r="H61" s="314"/>
      <c r="I61" s="315"/>
      <c r="J61" s="308"/>
      <c r="K61" s="309"/>
      <c r="L61" s="310"/>
      <c r="M61" s="81"/>
      <c r="N61" s="81"/>
      <c r="O61" s="81"/>
      <c r="P61" s="80"/>
      <c r="Q61" s="80"/>
      <c r="R61" s="80"/>
      <c r="S61" s="80"/>
      <c r="T61" s="82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</row>
    <row r="62" spans="2:72" s="1" customFormat="1" ht="16.5" customHeight="1" x14ac:dyDescent="0.2">
      <c r="B62" s="33">
        <v>8</v>
      </c>
      <c r="C62" s="311" t="s">
        <v>166</v>
      </c>
      <c r="D62" s="311"/>
      <c r="E62" s="311"/>
      <c r="F62" s="85"/>
      <c r="G62" s="311"/>
      <c r="H62" s="311"/>
      <c r="I62" s="311"/>
      <c r="J62" s="311"/>
      <c r="K62" s="311"/>
      <c r="L62" s="311"/>
      <c r="M62" s="85"/>
      <c r="N62" s="85"/>
      <c r="O62" s="85"/>
      <c r="P62" s="84"/>
      <c r="Q62" s="311"/>
      <c r="R62" s="311"/>
      <c r="S62" s="311"/>
      <c r="T62" s="86">
        <v>0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</row>
    <row r="63" spans="2:72" s="1" customFormat="1" ht="16.5" customHeight="1" x14ac:dyDescent="0.2">
      <c r="B63" s="33">
        <v>8</v>
      </c>
      <c r="C63" s="311" t="s">
        <v>167</v>
      </c>
      <c r="D63" s="311"/>
      <c r="E63" s="311"/>
      <c r="F63" s="85"/>
      <c r="G63" s="311" t="s">
        <v>168</v>
      </c>
      <c r="H63" s="311"/>
      <c r="I63" s="311"/>
      <c r="J63" s="311"/>
      <c r="K63" s="311"/>
      <c r="L63" s="311"/>
      <c r="M63" s="85"/>
      <c r="N63" s="85"/>
      <c r="O63" s="85"/>
      <c r="P63" s="84"/>
      <c r="Q63" s="311"/>
      <c r="R63" s="311"/>
      <c r="S63" s="311"/>
      <c r="T63" s="86">
        <v>0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</row>
    <row r="64" spans="2:72" s="1" customFormat="1" ht="16.5" customHeight="1" x14ac:dyDescent="0.2">
      <c r="B64" s="34">
        <v>9</v>
      </c>
      <c r="C64" s="311" t="s">
        <v>169</v>
      </c>
      <c r="D64" s="311"/>
      <c r="E64" s="311"/>
      <c r="F64" s="85"/>
      <c r="G64" s="311"/>
      <c r="H64" s="311"/>
      <c r="I64" s="311"/>
      <c r="J64" s="311"/>
      <c r="K64" s="311"/>
      <c r="L64" s="311"/>
      <c r="M64" s="85"/>
      <c r="N64" s="85"/>
      <c r="O64" s="85"/>
      <c r="P64" s="84"/>
      <c r="Q64" s="311"/>
      <c r="R64" s="311"/>
      <c r="S64" s="311"/>
      <c r="T64" s="86">
        <v>0</v>
      </c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</row>
    <row r="65" spans="2:72" s="1" customFormat="1" ht="16.5" customHeight="1" x14ac:dyDescent="0.2">
      <c r="B65" s="34">
        <v>9</v>
      </c>
      <c r="C65" s="311" t="s">
        <v>170</v>
      </c>
      <c r="D65" s="311"/>
      <c r="E65" s="311"/>
      <c r="F65" s="85"/>
      <c r="G65" s="311"/>
      <c r="H65" s="311"/>
      <c r="I65" s="311"/>
      <c r="J65" s="311"/>
      <c r="K65" s="311"/>
      <c r="L65" s="311"/>
      <c r="M65" s="92"/>
      <c r="N65" s="85"/>
      <c r="O65" s="85"/>
      <c r="P65" s="84"/>
      <c r="Q65" s="311"/>
      <c r="R65" s="311"/>
      <c r="S65" s="311"/>
      <c r="T65" s="86">
        <v>0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</row>
    <row r="66" spans="2:72" s="1" customFormat="1" ht="16.5" customHeight="1" x14ac:dyDescent="0.2">
      <c r="B66" s="36">
        <v>10</v>
      </c>
      <c r="C66" s="311" t="s">
        <v>135</v>
      </c>
      <c r="D66" s="311"/>
      <c r="E66" s="311"/>
      <c r="F66" s="85"/>
      <c r="G66" s="311"/>
      <c r="H66" s="311"/>
      <c r="I66" s="311"/>
      <c r="J66" s="311"/>
      <c r="K66" s="311"/>
      <c r="L66" s="311"/>
      <c r="M66" s="85"/>
      <c r="N66" s="85"/>
      <c r="O66" s="85"/>
      <c r="P66" s="84"/>
      <c r="Q66" s="311"/>
      <c r="R66" s="311"/>
      <c r="S66" s="311"/>
      <c r="T66" s="86">
        <v>0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</row>
    <row r="67" spans="2:72" s="1" customFormat="1" ht="16.5" customHeight="1" x14ac:dyDescent="0.2">
      <c r="B67" s="36">
        <v>10</v>
      </c>
      <c r="C67" s="311" t="s">
        <v>171</v>
      </c>
      <c r="D67" s="311"/>
      <c r="E67" s="311"/>
      <c r="F67" s="85"/>
      <c r="G67" s="311"/>
      <c r="H67" s="311"/>
      <c r="I67" s="311"/>
      <c r="J67" s="311"/>
      <c r="K67" s="311"/>
      <c r="L67" s="311"/>
      <c r="M67" s="85"/>
      <c r="N67" s="85"/>
      <c r="O67" s="85"/>
      <c r="P67" s="84"/>
      <c r="Q67" s="311"/>
      <c r="R67" s="311"/>
      <c r="S67" s="311"/>
      <c r="T67" s="86">
        <v>0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</row>
    <row r="68" spans="2:72" s="1" customFormat="1" ht="16.5" customHeight="1" thickBot="1" x14ac:dyDescent="0.25">
      <c r="B68" s="35">
        <v>10</v>
      </c>
      <c r="C68" s="316" t="s">
        <v>172</v>
      </c>
      <c r="D68" s="316"/>
      <c r="E68" s="316"/>
      <c r="F68" s="94"/>
      <c r="G68" s="316"/>
      <c r="H68" s="316"/>
      <c r="I68" s="316"/>
      <c r="J68" s="316"/>
      <c r="K68" s="316"/>
      <c r="L68" s="316"/>
      <c r="M68" s="94"/>
      <c r="N68" s="94"/>
      <c r="O68" s="94"/>
      <c r="P68" s="93"/>
      <c r="Q68" s="316"/>
      <c r="R68" s="316"/>
      <c r="S68" s="316"/>
      <c r="T68" s="95">
        <v>0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</row>
    <row r="69" spans="2:72" s="1" customFormat="1" ht="16.5" customHeight="1" thickBot="1" x14ac:dyDescent="0.25">
      <c r="B69" s="96">
        <v>11</v>
      </c>
      <c r="C69" s="317" t="s">
        <v>173</v>
      </c>
      <c r="D69" s="317"/>
      <c r="E69" s="317"/>
      <c r="F69" s="98" t="s">
        <v>111</v>
      </c>
      <c r="G69" s="318" t="s">
        <v>174</v>
      </c>
      <c r="H69" s="319"/>
      <c r="I69" s="320"/>
      <c r="J69" s="93"/>
      <c r="K69" s="93"/>
      <c r="L69" s="93"/>
      <c r="M69" s="94"/>
      <c r="N69" s="94"/>
      <c r="O69" s="94"/>
      <c r="P69" s="93"/>
      <c r="Q69" s="93"/>
      <c r="R69" s="93"/>
      <c r="S69" s="93"/>
      <c r="T69" s="95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</row>
    <row r="70" spans="2:72" s="1" customFormat="1" ht="16.5" customHeight="1" thickBot="1" x14ac:dyDescent="0.25">
      <c r="B70" s="99">
        <v>11</v>
      </c>
      <c r="C70" s="100" t="s">
        <v>175</v>
      </c>
      <c r="D70" s="100"/>
      <c r="E70" s="101"/>
      <c r="F70" s="98" t="s">
        <v>176</v>
      </c>
      <c r="G70" s="102" t="s">
        <v>177</v>
      </c>
      <c r="H70" s="103"/>
      <c r="I70" s="104"/>
      <c r="J70" s="93"/>
      <c r="K70" s="93"/>
      <c r="L70" s="93"/>
      <c r="M70" s="94"/>
      <c r="N70" s="94"/>
      <c r="O70" s="94"/>
      <c r="P70" s="93"/>
      <c r="Q70" s="93"/>
      <c r="R70" s="93"/>
      <c r="S70" s="93"/>
      <c r="T70" s="95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</row>
    <row r="71" spans="2:72" s="1" customFormat="1" ht="16.5" customHeight="1" thickBot="1" x14ac:dyDescent="0.25">
      <c r="B71" s="105">
        <v>12</v>
      </c>
      <c r="C71" s="100" t="s">
        <v>178</v>
      </c>
      <c r="D71" s="100"/>
      <c r="E71" s="101"/>
      <c r="F71" s="98" t="s">
        <v>176</v>
      </c>
      <c r="G71" s="102" t="s">
        <v>179</v>
      </c>
      <c r="H71" s="103"/>
      <c r="I71" s="104"/>
      <c r="J71" s="93"/>
      <c r="K71" s="93"/>
      <c r="L71" s="93"/>
      <c r="M71" s="94"/>
      <c r="N71" s="94"/>
      <c r="O71" s="94"/>
      <c r="P71" s="93"/>
      <c r="Q71" s="93"/>
      <c r="R71" s="93"/>
      <c r="S71" s="93"/>
      <c r="T71" s="95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</row>
    <row r="72" spans="2:72" s="1" customFormat="1" ht="16.5" customHeight="1" thickBot="1" x14ac:dyDescent="0.25">
      <c r="B72" s="105">
        <v>12</v>
      </c>
      <c r="C72" s="100" t="s">
        <v>180</v>
      </c>
      <c r="D72" s="100"/>
      <c r="E72" s="101"/>
      <c r="F72" s="98" t="s">
        <v>111</v>
      </c>
      <c r="G72" s="102" t="s">
        <v>181</v>
      </c>
      <c r="H72" s="103"/>
      <c r="I72" s="104"/>
      <c r="J72" s="93"/>
      <c r="K72" s="93"/>
      <c r="L72" s="93"/>
      <c r="M72" s="94"/>
      <c r="N72" s="94"/>
      <c r="O72" s="94"/>
      <c r="P72" s="93"/>
      <c r="Q72" s="93"/>
      <c r="R72" s="93"/>
      <c r="S72" s="93"/>
      <c r="T72" s="95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</row>
    <row r="73" spans="2:72" s="1" customFormat="1" ht="16.5" customHeight="1" thickBot="1" x14ac:dyDescent="0.25">
      <c r="B73" s="105">
        <v>12</v>
      </c>
      <c r="C73" s="100" t="s">
        <v>182</v>
      </c>
      <c r="D73" s="100"/>
      <c r="E73" s="101"/>
      <c r="F73" s="98"/>
      <c r="G73" s="102"/>
      <c r="H73" s="103"/>
      <c r="I73" s="104"/>
      <c r="J73" s="93"/>
      <c r="K73" s="93"/>
      <c r="L73" s="93"/>
      <c r="M73" s="94"/>
      <c r="N73" s="94"/>
      <c r="O73" s="94"/>
      <c r="P73" s="93"/>
      <c r="Q73" s="93"/>
      <c r="R73" s="93"/>
      <c r="S73" s="93"/>
      <c r="T73" s="95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</row>
    <row r="74" spans="2:72" s="1" customFormat="1" ht="16.5" customHeight="1" thickBot="1" x14ac:dyDescent="0.25">
      <c r="B74" s="105">
        <v>12</v>
      </c>
      <c r="C74" s="100" t="s">
        <v>183</v>
      </c>
      <c r="D74" s="100"/>
      <c r="E74" s="101"/>
      <c r="F74" s="98"/>
      <c r="G74" s="102"/>
      <c r="H74" s="103"/>
      <c r="I74" s="104"/>
      <c r="J74" s="93"/>
      <c r="K74" s="93"/>
      <c r="L74" s="93"/>
      <c r="M74" s="94"/>
      <c r="N74" s="94"/>
      <c r="O74" s="94"/>
      <c r="P74" s="93"/>
      <c r="Q74" s="93"/>
      <c r="R74" s="93"/>
      <c r="S74" s="93"/>
      <c r="T74" s="95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</row>
    <row r="75" spans="2:72" s="1" customFormat="1" ht="16.5" customHeight="1" thickBot="1" x14ac:dyDescent="0.25">
      <c r="B75" s="105">
        <v>15</v>
      </c>
      <c r="C75" s="100"/>
      <c r="D75" s="100"/>
      <c r="E75" s="101"/>
      <c r="F75" s="98"/>
      <c r="G75" s="102"/>
      <c r="H75" s="103"/>
      <c r="I75" s="104"/>
      <c r="J75" s="93"/>
      <c r="K75" s="93"/>
      <c r="L75" s="93"/>
      <c r="M75" s="94"/>
      <c r="N75" s="94"/>
      <c r="O75" s="94"/>
      <c r="P75" s="93"/>
      <c r="Q75" s="93"/>
      <c r="R75" s="93"/>
      <c r="S75" s="93"/>
      <c r="T75" s="95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</row>
    <row r="76" spans="2:72" s="1" customFormat="1" ht="16.5" customHeight="1" thickBot="1" x14ac:dyDescent="0.25">
      <c r="B76" s="105">
        <v>16</v>
      </c>
      <c r="C76" s="100"/>
      <c r="D76" s="100"/>
      <c r="E76" s="101"/>
      <c r="F76" s="98"/>
      <c r="G76" s="102"/>
      <c r="H76" s="103"/>
      <c r="I76" s="104"/>
      <c r="J76" s="93"/>
      <c r="K76" s="93"/>
      <c r="L76" s="93"/>
      <c r="M76" s="94"/>
      <c r="N76" s="94"/>
      <c r="O76" s="94"/>
      <c r="P76" s="93"/>
      <c r="Q76" s="93"/>
      <c r="R76" s="93"/>
      <c r="S76" s="93"/>
      <c r="T76" s="95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</row>
    <row r="77" spans="2:72" s="1" customFormat="1" ht="16.5" customHeight="1" thickBot="1" x14ac:dyDescent="0.25">
      <c r="B77" s="105">
        <v>17</v>
      </c>
      <c r="C77" s="100"/>
      <c r="D77" s="100"/>
      <c r="E77" s="101"/>
      <c r="F77" s="98"/>
      <c r="G77" s="102"/>
      <c r="H77" s="103"/>
      <c r="I77" s="104"/>
      <c r="J77" s="93"/>
      <c r="K77" s="93"/>
      <c r="L77" s="93"/>
      <c r="M77" s="94"/>
      <c r="N77" s="94"/>
      <c r="O77" s="94"/>
      <c r="P77" s="93"/>
      <c r="Q77" s="93"/>
      <c r="R77" s="93"/>
      <c r="S77" s="93"/>
      <c r="T77" s="95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</row>
    <row r="78" spans="2:72" s="1" customFormat="1" ht="16.5" customHeight="1" thickBot="1" x14ac:dyDescent="0.25">
      <c r="B78" s="106" t="s">
        <v>184</v>
      </c>
      <c r="C78" s="321" t="s">
        <v>185</v>
      </c>
      <c r="D78" s="322"/>
      <c r="E78" s="323"/>
      <c r="F78" s="98" t="s">
        <v>111</v>
      </c>
      <c r="G78" s="317" t="s">
        <v>186</v>
      </c>
      <c r="H78" s="317"/>
      <c r="I78" s="317"/>
      <c r="J78" s="97"/>
      <c r="K78" s="97"/>
      <c r="L78" s="97"/>
      <c r="M78" s="98"/>
      <c r="N78" s="98"/>
      <c r="O78" s="98"/>
      <c r="P78" s="97"/>
      <c r="Q78" s="97"/>
      <c r="R78" s="97"/>
      <c r="S78" s="97"/>
      <c r="T78" s="107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</row>
    <row r="79" spans="2:72" s="1" customFormat="1" ht="16.5" customHeight="1" thickBot="1" x14ac:dyDescent="0.25">
      <c r="B79" s="106" t="s">
        <v>184</v>
      </c>
      <c r="C79" s="321" t="s">
        <v>187</v>
      </c>
      <c r="D79" s="322"/>
      <c r="E79" s="323"/>
      <c r="F79" s="98" t="s">
        <v>111</v>
      </c>
      <c r="G79" s="317" t="s">
        <v>188</v>
      </c>
      <c r="H79" s="317"/>
      <c r="I79" s="317"/>
      <c r="J79" s="97"/>
      <c r="K79" s="97"/>
      <c r="L79" s="97"/>
      <c r="M79" s="98"/>
      <c r="N79" s="98"/>
      <c r="O79" s="98"/>
      <c r="P79" s="97"/>
      <c r="Q79" s="97"/>
      <c r="R79" s="97"/>
      <c r="S79" s="97"/>
      <c r="T79" s="107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</row>
    <row r="80" spans="2:72" s="1" customFormat="1" ht="16.5" customHeight="1" thickBot="1" x14ac:dyDescent="0.25">
      <c r="B80" s="106" t="s">
        <v>184</v>
      </c>
      <c r="C80" s="321" t="s">
        <v>189</v>
      </c>
      <c r="D80" s="322"/>
      <c r="E80" s="323"/>
      <c r="F80" s="98"/>
      <c r="G80" s="317" t="s">
        <v>190</v>
      </c>
      <c r="H80" s="317"/>
      <c r="I80" s="317"/>
      <c r="J80" s="97"/>
      <c r="K80" s="97"/>
      <c r="L80" s="97"/>
      <c r="M80" s="98"/>
      <c r="N80" s="98"/>
      <c r="O80" s="98"/>
      <c r="P80" s="97"/>
      <c r="Q80" s="97"/>
      <c r="R80" s="97"/>
      <c r="S80" s="97"/>
      <c r="T80" s="107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</row>
    <row r="81" spans="2:72" s="1" customFormat="1" ht="16.5" customHeight="1" thickBot="1" x14ac:dyDescent="0.25">
      <c r="B81" s="106" t="s">
        <v>184</v>
      </c>
      <c r="C81" s="330" t="s">
        <v>191</v>
      </c>
      <c r="D81" s="331"/>
      <c r="E81" s="332"/>
      <c r="F81" s="108" t="s">
        <v>176</v>
      </c>
      <c r="G81" s="333" t="s">
        <v>192</v>
      </c>
      <c r="H81" s="333"/>
      <c r="I81" s="333"/>
      <c r="J81" s="333"/>
      <c r="K81" s="333"/>
      <c r="L81" s="333"/>
      <c r="M81" s="108"/>
      <c r="N81" s="108"/>
      <c r="O81" s="108"/>
      <c r="P81" s="109"/>
      <c r="Q81" s="333"/>
      <c r="R81" s="333"/>
      <c r="S81" s="333"/>
      <c r="T81" s="110">
        <v>1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</row>
    <row r="82" spans="2:72" s="1" customFormat="1" ht="16.5" customHeight="1" thickBot="1" x14ac:dyDescent="0.25">
      <c r="B82" s="106" t="s">
        <v>184</v>
      </c>
      <c r="C82" s="334" t="s">
        <v>193</v>
      </c>
      <c r="D82" s="335"/>
      <c r="E82" s="336"/>
      <c r="F82" s="98" t="s">
        <v>111</v>
      </c>
      <c r="G82" s="317" t="s">
        <v>194</v>
      </c>
      <c r="H82" s="317"/>
      <c r="I82" s="317"/>
      <c r="J82" s="317"/>
      <c r="K82" s="317"/>
      <c r="L82" s="317"/>
      <c r="M82" s="98"/>
      <c r="N82" s="98"/>
      <c r="O82" s="98"/>
      <c r="P82" s="97"/>
      <c r="Q82" s="317"/>
      <c r="R82" s="317"/>
      <c r="S82" s="317"/>
      <c r="T82" s="107">
        <v>2</v>
      </c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</row>
    <row r="83" spans="2:72" s="1" customFormat="1" ht="16.5" customHeight="1" thickBot="1" x14ac:dyDescent="0.25">
      <c r="B83" s="111" t="s">
        <v>184</v>
      </c>
      <c r="C83" s="324" t="s">
        <v>195</v>
      </c>
      <c r="D83" s="325"/>
      <c r="E83" s="326"/>
      <c r="F83" s="112"/>
      <c r="G83" s="324"/>
      <c r="H83" s="325"/>
      <c r="I83" s="326"/>
      <c r="J83" s="324"/>
      <c r="K83" s="325"/>
      <c r="L83" s="326"/>
      <c r="M83" s="112"/>
      <c r="N83" s="112"/>
      <c r="O83" s="112"/>
      <c r="P83" s="112"/>
      <c r="Q83" s="324"/>
      <c r="R83" s="325"/>
      <c r="S83" s="326"/>
      <c r="T83" s="113">
        <f>SUM(T33:T68)</f>
        <v>1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</row>
    <row r="84" spans="2:72" s="1" customFormat="1" ht="14.25" customHeight="1" x14ac:dyDescent="0.2">
      <c r="B84" s="1" t="s">
        <v>184</v>
      </c>
      <c r="C84" s="2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</row>
    <row r="85" spans="2:72" s="1" customFormat="1" ht="42" hidden="1" customHeight="1" x14ac:dyDescent="0.2">
      <c r="B85" s="327" t="s">
        <v>196</v>
      </c>
      <c r="C85" s="328"/>
      <c r="D85" s="328" t="s">
        <v>75</v>
      </c>
      <c r="E85" s="328"/>
      <c r="F85" s="328"/>
      <c r="G85" s="328"/>
      <c r="H85" s="328"/>
      <c r="I85" s="328"/>
      <c r="J85" s="328"/>
      <c r="K85" s="328"/>
      <c r="L85" s="329"/>
      <c r="M85" s="39"/>
      <c r="N85" s="39"/>
      <c r="O85" s="39"/>
      <c r="P85" s="39"/>
      <c r="Q85" s="39"/>
      <c r="R85" s="39"/>
      <c r="S85" s="39"/>
      <c r="T85" s="39"/>
      <c r="U85" s="39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2:72" ht="38.25" hidden="1" customHeight="1" x14ac:dyDescent="0.2">
      <c r="B86" s="337" t="s">
        <v>197</v>
      </c>
      <c r="C86" s="338"/>
      <c r="D86" s="338" t="s">
        <v>49</v>
      </c>
      <c r="E86" s="338"/>
      <c r="F86" s="338" t="s">
        <v>50</v>
      </c>
      <c r="G86" s="338"/>
      <c r="H86" s="338" t="s">
        <v>51</v>
      </c>
      <c r="I86" s="338"/>
      <c r="J86" s="338"/>
      <c r="K86" s="338" t="s">
        <v>52</v>
      </c>
      <c r="L86" s="339"/>
      <c r="M86" s="3"/>
      <c r="N86" s="3"/>
      <c r="O86" s="3"/>
      <c r="P86" s="3"/>
      <c r="BA86"/>
      <c r="BB86"/>
      <c r="BC86"/>
      <c r="BD86"/>
      <c r="BE86"/>
      <c r="BF86"/>
      <c r="BG86"/>
      <c r="BH86"/>
      <c r="BI86"/>
    </row>
    <row r="87" spans="2:72" ht="21" hidden="1" customHeight="1" x14ac:dyDescent="0.2">
      <c r="B87" s="42" t="s">
        <v>53</v>
      </c>
      <c r="C87" s="43" t="s">
        <v>54</v>
      </c>
      <c r="D87" s="43" t="s">
        <v>55</v>
      </c>
      <c r="E87" s="43" t="s">
        <v>56</v>
      </c>
      <c r="F87" s="43" t="s">
        <v>57</v>
      </c>
      <c r="G87" s="43" t="s">
        <v>58</v>
      </c>
      <c r="H87" s="43" t="s">
        <v>57</v>
      </c>
      <c r="I87" s="43" t="s">
        <v>59</v>
      </c>
      <c r="J87" s="43" t="s">
        <v>58</v>
      </c>
      <c r="K87" s="43" t="s">
        <v>60</v>
      </c>
      <c r="L87" s="44" t="s">
        <v>61</v>
      </c>
      <c r="M87" s="3"/>
      <c r="N87" s="3"/>
      <c r="O87" s="3"/>
      <c r="P87" s="3"/>
      <c r="BA87"/>
      <c r="BB87"/>
      <c r="BC87"/>
      <c r="BD87"/>
      <c r="BE87"/>
      <c r="BF87"/>
      <c r="BG87"/>
      <c r="BH87"/>
      <c r="BI87"/>
    </row>
    <row r="88" spans="2:72" ht="23.25" hidden="1" customHeight="1" x14ac:dyDescent="0.2">
      <c r="B88" s="45">
        <v>1</v>
      </c>
      <c r="C88" s="46">
        <v>44287</v>
      </c>
      <c r="D88" s="47"/>
      <c r="E88" s="47"/>
      <c r="F88" s="48"/>
      <c r="G88" s="48"/>
      <c r="H88" s="47"/>
      <c r="I88" s="47"/>
      <c r="J88" s="47"/>
      <c r="K88" s="48"/>
      <c r="L88" s="49"/>
      <c r="M88" s="3"/>
      <c r="N88" s="3"/>
      <c r="O88" s="3"/>
      <c r="P88" s="3"/>
      <c r="BA88"/>
      <c r="BB88"/>
      <c r="BC88"/>
      <c r="BD88"/>
      <c r="BE88"/>
      <c r="BF88"/>
      <c r="BG88"/>
      <c r="BH88"/>
      <c r="BI88"/>
    </row>
    <row r="89" spans="2:72" ht="23.25" hidden="1" customHeight="1" x14ac:dyDescent="0.2">
      <c r="B89" s="50">
        <v>2</v>
      </c>
      <c r="C89" s="51">
        <v>44291</v>
      </c>
      <c r="D89" s="52"/>
      <c r="E89" s="52"/>
      <c r="F89" s="53"/>
      <c r="G89" s="53"/>
      <c r="H89" s="52"/>
      <c r="I89" s="52"/>
      <c r="J89" s="52"/>
      <c r="K89" s="53"/>
      <c r="L89" s="54"/>
      <c r="M89" s="3"/>
      <c r="N89" s="3"/>
      <c r="O89" s="3"/>
      <c r="P89" s="3"/>
      <c r="BA89"/>
      <c r="BB89"/>
      <c r="BC89"/>
      <c r="BD89"/>
      <c r="BE89"/>
      <c r="BF89"/>
      <c r="BG89"/>
      <c r="BH89"/>
      <c r="BI89"/>
    </row>
    <row r="90" spans="2:72" ht="23.25" hidden="1" customHeight="1" x14ac:dyDescent="0.2">
      <c r="B90" s="50">
        <v>3</v>
      </c>
      <c r="C90" s="51">
        <v>44298</v>
      </c>
      <c r="D90" s="52"/>
      <c r="E90" s="52"/>
      <c r="F90" s="53"/>
      <c r="G90" s="53"/>
      <c r="H90" s="52"/>
      <c r="I90" s="52"/>
      <c r="J90" s="52"/>
      <c r="K90" s="53"/>
      <c r="L90" s="54"/>
      <c r="M90" s="3"/>
      <c r="N90" s="3"/>
      <c r="O90" s="3"/>
      <c r="P90" s="3"/>
      <c r="BA90"/>
      <c r="BB90"/>
      <c r="BC90"/>
      <c r="BD90"/>
      <c r="BE90"/>
      <c r="BF90"/>
      <c r="BG90"/>
      <c r="BH90"/>
      <c r="BI90"/>
    </row>
    <row r="91" spans="2:72" ht="23.25" hidden="1" customHeight="1" x14ac:dyDescent="0.2">
      <c r="B91" s="50">
        <v>4</v>
      </c>
      <c r="C91" s="51">
        <v>44305</v>
      </c>
      <c r="D91" s="52"/>
      <c r="E91" s="52"/>
      <c r="F91" s="53"/>
      <c r="G91" s="53"/>
      <c r="H91" s="52"/>
      <c r="I91" s="52"/>
      <c r="J91" s="52"/>
      <c r="K91" s="53"/>
      <c r="L91" s="54"/>
      <c r="M91" s="3"/>
      <c r="N91" s="3"/>
      <c r="O91" s="3"/>
      <c r="P91" s="3"/>
      <c r="BA91"/>
      <c r="BB91"/>
      <c r="BC91"/>
      <c r="BD91"/>
      <c r="BE91"/>
      <c r="BF91"/>
      <c r="BG91"/>
      <c r="BH91"/>
      <c r="BI91"/>
    </row>
    <row r="92" spans="2:72" ht="23.25" hidden="1" customHeight="1" x14ac:dyDescent="0.2">
      <c r="B92" s="50">
        <v>5</v>
      </c>
      <c r="C92" s="51">
        <v>44312</v>
      </c>
      <c r="D92" s="52"/>
      <c r="E92" s="52"/>
      <c r="F92" s="53"/>
      <c r="G92" s="53"/>
      <c r="H92" s="52"/>
      <c r="I92" s="52"/>
      <c r="J92" s="52"/>
      <c r="K92" s="53"/>
      <c r="L92" s="54"/>
      <c r="M92" s="3"/>
      <c r="N92" s="3"/>
      <c r="O92" s="3"/>
      <c r="P92" s="3"/>
      <c r="BA92"/>
      <c r="BB92"/>
      <c r="BC92"/>
      <c r="BD92"/>
      <c r="BE92"/>
      <c r="BF92"/>
      <c r="BG92"/>
      <c r="BH92"/>
      <c r="BI92"/>
    </row>
    <row r="93" spans="2:72" ht="23.25" hidden="1" customHeight="1" x14ac:dyDescent="0.2">
      <c r="B93" s="50">
        <v>6</v>
      </c>
      <c r="C93" s="51">
        <v>44319</v>
      </c>
      <c r="D93" s="52"/>
      <c r="E93" s="52"/>
      <c r="F93" s="53"/>
      <c r="G93" s="53"/>
      <c r="H93" s="52"/>
      <c r="I93" s="52"/>
      <c r="J93" s="52"/>
      <c r="K93" s="53"/>
      <c r="L93" s="54"/>
      <c r="M93" s="3"/>
      <c r="N93" s="3"/>
      <c r="O93" s="3"/>
      <c r="P93" s="3"/>
      <c r="BA93"/>
      <c r="BB93"/>
      <c r="BC93"/>
      <c r="BD93"/>
      <c r="BE93"/>
      <c r="BF93"/>
      <c r="BG93"/>
      <c r="BH93"/>
      <c r="BI93"/>
    </row>
    <row r="94" spans="2:72" ht="23.25" hidden="1" customHeight="1" x14ac:dyDescent="0.2">
      <c r="B94" s="50">
        <v>7</v>
      </c>
      <c r="C94" s="51">
        <v>44326</v>
      </c>
      <c r="D94" s="52"/>
      <c r="E94" s="52"/>
      <c r="F94" s="53"/>
      <c r="G94" s="53"/>
      <c r="H94" s="52"/>
      <c r="I94" s="52"/>
      <c r="J94" s="52"/>
      <c r="K94" s="53"/>
      <c r="L94" s="54"/>
      <c r="M94" s="3"/>
      <c r="N94" s="3"/>
      <c r="O94" s="3"/>
      <c r="P94" s="3"/>
      <c r="BA94"/>
      <c r="BB94"/>
      <c r="BC94"/>
      <c r="BD94"/>
      <c r="BE94"/>
      <c r="BF94"/>
      <c r="BG94"/>
      <c r="BH94"/>
      <c r="BI94"/>
    </row>
    <row r="95" spans="2:72" ht="23.25" hidden="1" customHeight="1" x14ac:dyDescent="0.2">
      <c r="B95" s="50">
        <v>8</v>
      </c>
      <c r="C95" s="51">
        <v>44333</v>
      </c>
      <c r="D95" s="52"/>
      <c r="E95" s="52"/>
      <c r="F95" s="53"/>
      <c r="G95" s="53"/>
      <c r="H95" s="52"/>
      <c r="J95" s="52"/>
      <c r="K95" s="53"/>
      <c r="L95" s="54"/>
      <c r="M95" s="3"/>
      <c r="N95" s="3"/>
      <c r="O95" s="3"/>
      <c r="P95" s="3"/>
      <c r="BA95"/>
      <c r="BB95"/>
      <c r="BC95"/>
      <c r="BD95"/>
      <c r="BE95"/>
      <c r="BF95"/>
      <c r="BG95"/>
      <c r="BH95"/>
      <c r="BI95"/>
    </row>
    <row r="96" spans="2:72" ht="23.25" hidden="1" customHeight="1" x14ac:dyDescent="0.2">
      <c r="B96" s="50">
        <v>9</v>
      </c>
      <c r="C96" s="51">
        <v>44340</v>
      </c>
      <c r="D96" s="52"/>
      <c r="E96" s="52"/>
      <c r="F96" s="53"/>
      <c r="G96" s="53"/>
      <c r="H96" s="52"/>
      <c r="I96" s="52"/>
      <c r="J96" s="52"/>
      <c r="K96" s="53"/>
      <c r="L96" s="54"/>
      <c r="M96" s="3"/>
      <c r="N96" s="3"/>
      <c r="O96" s="3"/>
      <c r="P96" s="3"/>
      <c r="BA96"/>
      <c r="BB96"/>
      <c r="BC96"/>
      <c r="BD96"/>
      <c r="BE96"/>
      <c r="BF96"/>
      <c r="BG96"/>
      <c r="BH96"/>
      <c r="BI96"/>
    </row>
    <row r="97" spans="2:61" ht="23.25" hidden="1" customHeight="1" x14ac:dyDescent="0.2">
      <c r="B97" s="50">
        <v>10</v>
      </c>
      <c r="C97" s="51">
        <v>44347</v>
      </c>
      <c r="D97" s="52"/>
      <c r="E97" s="52"/>
      <c r="F97" s="53"/>
      <c r="G97" s="53"/>
      <c r="H97" s="52"/>
      <c r="I97" s="52"/>
      <c r="J97" s="52"/>
      <c r="K97" s="53"/>
      <c r="L97" s="54"/>
      <c r="M97" s="3"/>
      <c r="N97" s="241" t="s">
        <v>62</v>
      </c>
      <c r="O97" s="242"/>
      <c r="P97" s="243"/>
      <c r="BA97"/>
      <c r="BB97"/>
      <c r="BC97"/>
      <c r="BD97"/>
      <c r="BE97"/>
      <c r="BF97"/>
      <c r="BG97"/>
      <c r="BH97"/>
      <c r="BI97"/>
    </row>
    <row r="98" spans="2:61" ht="23.25" hidden="1" customHeight="1" x14ac:dyDescent="0.2">
      <c r="B98" s="50">
        <v>11</v>
      </c>
      <c r="C98" s="51">
        <v>44354</v>
      </c>
      <c r="D98" s="52"/>
      <c r="E98" s="52"/>
      <c r="F98" s="53"/>
      <c r="G98" s="53"/>
      <c r="H98" s="52"/>
      <c r="I98" s="52"/>
      <c r="J98" s="52"/>
      <c r="K98" s="53"/>
      <c r="L98" s="54"/>
      <c r="M98" s="3"/>
      <c r="N98" s="244" t="s">
        <v>63</v>
      </c>
      <c r="O98" s="245"/>
      <c r="P98" s="55">
        <f>SUM(D88:D101)</f>
        <v>0</v>
      </c>
      <c r="BA98"/>
      <c r="BB98"/>
      <c r="BC98"/>
      <c r="BD98"/>
      <c r="BE98"/>
      <c r="BF98"/>
      <c r="BG98"/>
      <c r="BH98"/>
      <c r="BI98"/>
    </row>
    <row r="99" spans="2:61" ht="23.25" hidden="1" customHeight="1" x14ac:dyDescent="0.2">
      <c r="B99" s="50">
        <v>12</v>
      </c>
      <c r="C99" s="51">
        <v>44361</v>
      </c>
      <c r="D99" s="52"/>
      <c r="E99" s="52"/>
      <c r="F99" s="53"/>
      <c r="G99" s="53"/>
      <c r="H99" s="52"/>
      <c r="I99" s="52"/>
      <c r="J99" s="52"/>
      <c r="K99" s="53"/>
      <c r="L99" s="54"/>
      <c r="M99" s="3"/>
      <c r="N99" s="244" t="s">
        <v>64</v>
      </c>
      <c r="O99" s="245"/>
      <c r="P99" s="55">
        <f>SUM(G88:G101)</f>
        <v>0</v>
      </c>
      <c r="BA99"/>
      <c r="BB99"/>
      <c r="BC99"/>
      <c r="BD99"/>
      <c r="BE99"/>
      <c r="BF99"/>
      <c r="BG99"/>
      <c r="BH99"/>
      <c r="BI99"/>
    </row>
    <row r="100" spans="2:61" ht="23.25" hidden="1" customHeight="1" x14ac:dyDescent="0.2">
      <c r="B100" s="50">
        <v>13</v>
      </c>
      <c r="C100" s="51">
        <v>44368</v>
      </c>
      <c r="D100" s="52"/>
      <c r="E100" s="52"/>
      <c r="F100" s="53"/>
      <c r="G100" s="53"/>
      <c r="H100" s="52"/>
      <c r="I100" s="52"/>
      <c r="J100" s="52"/>
      <c r="K100" s="53"/>
      <c r="L100" s="54"/>
      <c r="M100" s="3"/>
      <c r="N100" s="244" t="s">
        <v>65</v>
      </c>
      <c r="O100" s="245"/>
      <c r="P100" s="55">
        <f>SUM(J88:J101)</f>
        <v>0</v>
      </c>
      <c r="BA100"/>
      <c r="BB100"/>
      <c r="BC100"/>
      <c r="BD100"/>
      <c r="BE100"/>
      <c r="BF100"/>
      <c r="BG100"/>
      <c r="BH100"/>
      <c r="BI100"/>
    </row>
    <row r="101" spans="2:61" ht="23.25" hidden="1" customHeight="1" x14ac:dyDescent="0.2">
      <c r="B101" s="56">
        <v>14</v>
      </c>
      <c r="C101" s="114">
        <v>44375</v>
      </c>
      <c r="D101" s="57"/>
      <c r="E101" s="57"/>
      <c r="F101" s="58"/>
      <c r="G101" s="58"/>
      <c r="H101" s="57"/>
      <c r="I101" s="57"/>
      <c r="J101" s="57"/>
      <c r="K101" s="58"/>
      <c r="L101" s="59"/>
      <c r="M101" s="3"/>
      <c r="N101" s="246" t="s">
        <v>66</v>
      </c>
      <c r="O101" s="247"/>
      <c r="P101" s="60">
        <f>SUM(L88:L101)</f>
        <v>0</v>
      </c>
      <c r="BA101"/>
      <c r="BB101"/>
      <c r="BC101"/>
      <c r="BD101"/>
      <c r="BE101"/>
      <c r="BF101"/>
      <c r="BG101"/>
      <c r="BH101"/>
      <c r="BI101"/>
    </row>
    <row r="102" spans="2:61" ht="23.25" hidden="1" customHeight="1" x14ac:dyDescent="0.2">
      <c r="B102" s="45">
        <v>15</v>
      </c>
      <c r="C102" s="46">
        <v>44382</v>
      </c>
      <c r="D102" s="47"/>
      <c r="E102" s="47"/>
      <c r="F102" s="48"/>
      <c r="G102" s="48"/>
      <c r="H102" s="47"/>
      <c r="I102" s="47"/>
      <c r="J102" s="47"/>
      <c r="K102" s="48"/>
      <c r="L102" s="49"/>
      <c r="M102" s="3"/>
      <c r="N102" s="3"/>
      <c r="O102" s="3"/>
      <c r="P102" s="3"/>
      <c r="BA102"/>
      <c r="BB102"/>
      <c r="BC102"/>
      <c r="BD102"/>
      <c r="BE102"/>
      <c r="BF102"/>
      <c r="BG102"/>
      <c r="BH102"/>
      <c r="BI102"/>
    </row>
    <row r="103" spans="2:61" s="1" customFormat="1" ht="23.25" hidden="1" customHeight="1" x14ac:dyDescent="0.2">
      <c r="B103" s="50">
        <v>16</v>
      </c>
      <c r="C103" s="51">
        <v>44389</v>
      </c>
      <c r="D103" s="52"/>
      <c r="E103" s="52"/>
      <c r="F103" s="53"/>
      <c r="G103" s="53"/>
      <c r="H103" s="52"/>
      <c r="I103" s="52"/>
      <c r="J103" s="52"/>
      <c r="K103" s="53"/>
      <c r="L103" s="54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2:61" s="1" customFormat="1" ht="23.25" hidden="1" customHeight="1" x14ac:dyDescent="0.2">
      <c r="B104" s="50">
        <v>17</v>
      </c>
      <c r="C104" s="51">
        <v>44396</v>
      </c>
      <c r="D104" s="52"/>
      <c r="E104" s="52"/>
      <c r="F104" s="53"/>
      <c r="G104" s="53"/>
      <c r="H104" s="52"/>
      <c r="I104" s="52"/>
      <c r="J104" s="52"/>
      <c r="K104" s="53"/>
      <c r="L104" s="54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2:61" s="1" customFormat="1" ht="23.25" hidden="1" customHeight="1" x14ac:dyDescent="0.2">
      <c r="B105" s="50">
        <v>18</v>
      </c>
      <c r="C105" s="51">
        <v>44403</v>
      </c>
      <c r="D105" s="52"/>
      <c r="E105" s="52"/>
      <c r="F105" s="53"/>
      <c r="G105" s="53"/>
      <c r="H105" s="52"/>
      <c r="I105" s="52"/>
      <c r="J105" s="52"/>
      <c r="K105" s="53"/>
      <c r="L105" s="54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2:61" s="1" customFormat="1" ht="23.25" hidden="1" customHeight="1" x14ac:dyDescent="0.2">
      <c r="B106" s="50">
        <v>19</v>
      </c>
      <c r="C106" s="51">
        <v>44410</v>
      </c>
      <c r="D106" s="52"/>
      <c r="E106" s="52"/>
      <c r="F106" s="53"/>
      <c r="G106" s="53"/>
      <c r="H106" s="52"/>
      <c r="I106" s="52"/>
      <c r="J106" s="52"/>
      <c r="K106" s="53"/>
      <c r="L106" s="54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2:61" s="1" customFormat="1" ht="23.25" hidden="1" customHeight="1" x14ac:dyDescent="0.2">
      <c r="B107" s="50">
        <v>20</v>
      </c>
      <c r="C107" s="51">
        <v>44417</v>
      </c>
      <c r="D107" s="52"/>
      <c r="E107" s="52"/>
      <c r="F107" s="53"/>
      <c r="G107" s="53"/>
      <c r="H107" s="52"/>
      <c r="I107" s="52"/>
      <c r="J107" s="52"/>
      <c r="K107" s="53"/>
      <c r="L107" s="54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2:61" s="1" customFormat="1" ht="23.25" hidden="1" customHeight="1" x14ac:dyDescent="0.2">
      <c r="B108" s="50">
        <v>21</v>
      </c>
      <c r="C108" s="51">
        <v>44424</v>
      </c>
      <c r="D108" s="52"/>
      <c r="E108" s="52"/>
      <c r="F108" s="53"/>
      <c r="G108" s="53"/>
      <c r="H108" s="52"/>
      <c r="I108" s="52"/>
      <c r="J108" s="52"/>
      <c r="K108" s="53"/>
      <c r="L108" s="5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2:61" s="1" customFormat="1" ht="23.25" hidden="1" customHeight="1" x14ac:dyDescent="0.2">
      <c r="B109" s="50">
        <v>22</v>
      </c>
      <c r="C109" s="51">
        <v>44431</v>
      </c>
      <c r="D109" s="52"/>
      <c r="E109" s="52"/>
      <c r="F109" s="53"/>
      <c r="G109" s="53"/>
      <c r="H109" s="52"/>
      <c r="I109" s="52"/>
      <c r="J109" s="52"/>
      <c r="K109" s="53"/>
      <c r="L109" s="54"/>
      <c r="M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2:61" s="1" customFormat="1" ht="23.25" hidden="1" customHeight="1" x14ac:dyDescent="0.2">
      <c r="B110" s="50">
        <v>23</v>
      </c>
      <c r="C110" s="51">
        <v>44438</v>
      </c>
      <c r="D110" s="52"/>
      <c r="E110" s="52"/>
      <c r="F110" s="53"/>
      <c r="G110" s="53"/>
      <c r="H110" s="52"/>
      <c r="I110" s="52"/>
      <c r="J110" s="52"/>
      <c r="K110" s="53"/>
      <c r="L110" s="54"/>
      <c r="M110" s="3"/>
      <c r="N110" s="241" t="s">
        <v>67</v>
      </c>
      <c r="O110" s="242"/>
      <c r="P110" s="24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2:61" s="1" customFormat="1" ht="23.25" hidden="1" customHeight="1" x14ac:dyDescent="0.2">
      <c r="B111" s="50">
        <v>24</v>
      </c>
      <c r="C111" s="51">
        <v>44445</v>
      </c>
      <c r="D111" s="52"/>
      <c r="E111" s="52"/>
      <c r="F111" s="53"/>
      <c r="G111" s="53"/>
      <c r="H111" s="52"/>
      <c r="I111" s="52"/>
      <c r="J111" s="52"/>
      <c r="K111" s="53"/>
      <c r="L111" s="54"/>
      <c r="M111" s="3"/>
      <c r="N111" s="244" t="s">
        <v>63</v>
      </c>
      <c r="O111" s="245"/>
      <c r="P111" s="55">
        <f>SUM(D102:D114)</f>
        <v>0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2:61" s="1" customFormat="1" ht="23.25" hidden="1" customHeight="1" x14ac:dyDescent="0.2">
      <c r="B112" s="50">
        <v>25</v>
      </c>
      <c r="C112" s="51">
        <v>44452</v>
      </c>
      <c r="D112" s="52"/>
      <c r="E112" s="52"/>
      <c r="F112" s="53"/>
      <c r="G112" s="53"/>
      <c r="H112" s="52"/>
      <c r="I112" s="52"/>
      <c r="J112" s="52"/>
      <c r="K112" s="53"/>
      <c r="L112" s="54"/>
      <c r="M112" s="3"/>
      <c r="N112" s="244" t="s">
        <v>64</v>
      </c>
      <c r="O112" s="245"/>
      <c r="P112" s="55">
        <f>SUM(G102:G114)</f>
        <v>0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2:52" s="1" customFormat="1" ht="23.25" hidden="1" customHeight="1" x14ac:dyDescent="0.2">
      <c r="B113" s="50">
        <v>26</v>
      </c>
      <c r="C113" s="51">
        <v>44459</v>
      </c>
      <c r="D113" s="52"/>
      <c r="E113" s="52"/>
      <c r="F113" s="53"/>
      <c r="G113" s="53"/>
      <c r="H113" s="52"/>
      <c r="I113" s="52"/>
      <c r="J113" s="52"/>
      <c r="K113" s="53"/>
      <c r="L113" s="54"/>
      <c r="M113" s="3"/>
      <c r="N113" s="244" t="s">
        <v>65</v>
      </c>
      <c r="O113" s="245"/>
      <c r="P113" s="55">
        <f>SUM(J102:J114)</f>
        <v>0</v>
      </c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2:52" s="1" customFormat="1" ht="23.25" hidden="1" customHeight="1" x14ac:dyDescent="0.2">
      <c r="B114" s="56">
        <v>27</v>
      </c>
      <c r="C114" s="114">
        <v>44466</v>
      </c>
      <c r="D114" s="57"/>
      <c r="E114" s="57"/>
      <c r="F114" s="58"/>
      <c r="G114" s="58"/>
      <c r="H114" s="57"/>
      <c r="I114" s="57"/>
      <c r="J114" s="57"/>
      <c r="K114" s="58"/>
      <c r="L114" s="59"/>
      <c r="M114" s="3"/>
      <c r="N114" s="246" t="s">
        <v>66</v>
      </c>
      <c r="O114" s="247"/>
      <c r="P114" s="60">
        <f>SUM(L102:L114)</f>
        <v>0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</row>
    <row r="115" spans="2:52" s="1" customFormat="1" ht="23.25" hidden="1" customHeight="1" x14ac:dyDescent="0.2">
      <c r="B115" s="45">
        <v>28</v>
      </c>
      <c r="C115" s="46">
        <v>44473</v>
      </c>
      <c r="D115" s="47"/>
      <c r="E115" s="47"/>
      <c r="F115" s="48"/>
      <c r="G115" s="48"/>
      <c r="H115" s="47"/>
      <c r="I115" s="47"/>
      <c r="J115" s="47"/>
      <c r="K115" s="48"/>
      <c r="L115" s="49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</row>
    <row r="116" spans="2:52" s="1" customFormat="1" ht="23.25" hidden="1" customHeight="1" x14ac:dyDescent="0.2">
      <c r="B116" s="50">
        <v>29</v>
      </c>
      <c r="C116" s="51">
        <v>44480</v>
      </c>
      <c r="D116" s="52"/>
      <c r="E116" s="52"/>
      <c r="F116" s="53"/>
      <c r="G116" s="53"/>
      <c r="H116" s="52"/>
      <c r="I116" s="52"/>
      <c r="J116" s="52"/>
      <c r="K116" s="53"/>
      <c r="L116" s="54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</row>
    <row r="117" spans="2:52" s="1" customFormat="1" ht="23.25" hidden="1" customHeight="1" x14ac:dyDescent="0.2">
      <c r="B117" s="50">
        <v>30</v>
      </c>
      <c r="C117" s="51">
        <v>44487</v>
      </c>
      <c r="D117" s="52"/>
      <c r="E117" s="52"/>
      <c r="F117" s="53"/>
      <c r="G117" s="53"/>
      <c r="H117" s="52"/>
      <c r="I117" s="52"/>
      <c r="J117" s="52"/>
      <c r="K117" s="53"/>
      <c r="L117" s="54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</row>
    <row r="118" spans="2:52" s="1" customFormat="1" ht="23.25" hidden="1" customHeight="1" x14ac:dyDescent="0.2">
      <c r="B118" s="50">
        <v>31</v>
      </c>
      <c r="C118" s="51">
        <v>44494</v>
      </c>
      <c r="D118" s="52"/>
      <c r="E118" s="52"/>
      <c r="F118" s="53"/>
      <c r="G118" s="53"/>
      <c r="H118" s="52"/>
      <c r="I118" s="52"/>
      <c r="J118" s="52"/>
      <c r="K118" s="53"/>
      <c r="L118" s="54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</row>
    <row r="119" spans="2:52" s="1" customFormat="1" ht="23.25" hidden="1" customHeight="1" x14ac:dyDescent="0.2">
      <c r="B119" s="50">
        <v>32</v>
      </c>
      <c r="C119" s="51">
        <v>44501</v>
      </c>
      <c r="D119" s="52"/>
      <c r="E119" s="52"/>
      <c r="F119" s="53"/>
      <c r="G119" s="53"/>
      <c r="H119" s="52"/>
      <c r="I119" s="52"/>
      <c r="J119" s="52"/>
      <c r="K119" s="53"/>
      <c r="L119" s="54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</row>
    <row r="120" spans="2:52" s="1" customFormat="1" ht="23.25" hidden="1" customHeight="1" x14ac:dyDescent="0.2">
      <c r="B120" s="50">
        <v>33</v>
      </c>
      <c r="C120" s="51">
        <v>44508</v>
      </c>
      <c r="D120" s="52"/>
      <c r="E120" s="52"/>
      <c r="F120" s="53"/>
      <c r="G120" s="53"/>
      <c r="H120" s="52"/>
      <c r="I120" s="52"/>
      <c r="J120" s="52"/>
      <c r="K120" s="53"/>
      <c r="L120" s="5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</row>
    <row r="121" spans="2:52" s="1" customFormat="1" ht="23.25" hidden="1" customHeight="1" x14ac:dyDescent="0.2">
      <c r="B121" s="50">
        <v>34</v>
      </c>
      <c r="C121" s="51">
        <v>44515</v>
      </c>
      <c r="D121" s="52"/>
      <c r="E121" s="52"/>
      <c r="F121" s="53"/>
      <c r="G121" s="53"/>
      <c r="H121" s="52"/>
      <c r="I121" s="52"/>
      <c r="J121" s="52"/>
      <c r="K121" s="53"/>
      <c r="L121" s="5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</row>
    <row r="122" spans="2:52" s="1" customFormat="1" ht="23.25" hidden="1" customHeight="1" x14ac:dyDescent="0.2">
      <c r="B122" s="50">
        <v>35</v>
      </c>
      <c r="C122" s="51">
        <v>44522</v>
      </c>
      <c r="D122" s="52"/>
      <c r="E122" s="52"/>
      <c r="F122" s="53"/>
      <c r="G122" s="53"/>
      <c r="H122" s="52"/>
      <c r="I122" s="52"/>
      <c r="J122" s="52"/>
      <c r="K122" s="53"/>
      <c r="L122" s="5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</row>
    <row r="123" spans="2:52" s="1" customFormat="1" ht="23.25" hidden="1" customHeight="1" x14ac:dyDescent="0.2">
      <c r="B123" s="50">
        <v>36</v>
      </c>
      <c r="C123" s="51">
        <v>44529</v>
      </c>
      <c r="D123" s="52"/>
      <c r="E123" s="52"/>
      <c r="F123" s="53"/>
      <c r="G123" s="53"/>
      <c r="H123" s="52"/>
      <c r="I123" s="52"/>
      <c r="J123" s="52"/>
      <c r="K123" s="53"/>
      <c r="L123" s="54"/>
      <c r="M123" s="3"/>
      <c r="N123" s="241" t="s">
        <v>68</v>
      </c>
      <c r="O123" s="242"/>
      <c r="P123" s="24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</row>
    <row r="124" spans="2:52" s="1" customFormat="1" ht="23.25" hidden="1" customHeight="1" x14ac:dyDescent="0.2">
      <c r="B124" s="50">
        <v>37</v>
      </c>
      <c r="C124" s="51">
        <v>44536</v>
      </c>
      <c r="D124" s="52"/>
      <c r="E124" s="52"/>
      <c r="F124" s="53"/>
      <c r="G124" s="53"/>
      <c r="H124" s="52"/>
      <c r="I124" s="52"/>
      <c r="J124" s="52"/>
      <c r="K124" s="53"/>
      <c r="L124" s="54"/>
      <c r="M124" s="3"/>
      <c r="N124" s="244" t="s">
        <v>63</v>
      </c>
      <c r="O124" s="245"/>
      <c r="P124" s="55">
        <f>SUM(D115:D127)</f>
        <v>0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</row>
    <row r="125" spans="2:52" s="1" customFormat="1" ht="23.25" hidden="1" customHeight="1" x14ac:dyDescent="0.2">
      <c r="B125" s="50">
        <v>38</v>
      </c>
      <c r="C125" s="51">
        <v>44543</v>
      </c>
      <c r="D125" s="52"/>
      <c r="E125" s="52"/>
      <c r="F125" s="53"/>
      <c r="G125" s="53"/>
      <c r="H125" s="52"/>
      <c r="I125" s="52"/>
      <c r="J125" s="52"/>
      <c r="K125" s="53"/>
      <c r="L125" s="54"/>
      <c r="M125" s="3"/>
      <c r="N125" s="251" t="s">
        <v>64</v>
      </c>
      <c r="O125" s="252"/>
      <c r="P125" s="55">
        <f>SUM(G115:G127)</f>
        <v>0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</row>
    <row r="126" spans="2:52" s="1" customFormat="1" ht="23.25" hidden="1" customHeight="1" x14ac:dyDescent="0.2">
      <c r="B126" s="50">
        <v>39</v>
      </c>
      <c r="C126" s="51">
        <v>44550</v>
      </c>
      <c r="D126" s="52"/>
      <c r="E126" s="52"/>
      <c r="F126" s="53"/>
      <c r="G126" s="53"/>
      <c r="H126" s="52"/>
      <c r="I126" s="52"/>
      <c r="J126" s="52"/>
      <c r="K126" s="53"/>
      <c r="L126" s="54"/>
      <c r="M126" s="3"/>
      <c r="N126" s="251" t="s">
        <v>65</v>
      </c>
      <c r="O126" s="252"/>
      <c r="P126" s="55">
        <f>SUM(J115:J127)</f>
        <v>0</v>
      </c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</row>
    <row r="127" spans="2:52" s="1" customFormat="1" ht="23.25" hidden="1" customHeight="1" x14ac:dyDescent="0.2">
      <c r="B127" s="56">
        <v>40</v>
      </c>
      <c r="C127" s="114">
        <v>44557</v>
      </c>
      <c r="D127" s="57"/>
      <c r="E127" s="57"/>
      <c r="F127" s="58"/>
      <c r="G127" s="58"/>
      <c r="H127" s="57"/>
      <c r="I127" s="57"/>
      <c r="J127" s="57"/>
      <c r="K127" s="58"/>
      <c r="L127" s="59"/>
      <c r="M127" s="3"/>
      <c r="N127" s="253" t="s">
        <v>66</v>
      </c>
      <c r="O127" s="254"/>
      <c r="P127" s="60">
        <f>SUM(L115:L127)</f>
        <v>0</v>
      </c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</row>
    <row r="128" spans="2:52" s="1" customFormat="1" ht="23.25" hidden="1" customHeight="1" x14ac:dyDescent="0.2">
      <c r="B128" s="61">
        <v>41</v>
      </c>
      <c r="C128" s="115">
        <v>44564</v>
      </c>
      <c r="D128" s="62"/>
      <c r="E128" s="62"/>
      <c r="F128" s="63"/>
      <c r="G128" s="63"/>
      <c r="H128" s="62"/>
      <c r="I128" s="62"/>
      <c r="J128" s="62"/>
      <c r="K128" s="63"/>
      <c r="L128" s="6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</row>
    <row r="129" spans="2:52" s="1" customFormat="1" ht="23.25" hidden="1" customHeight="1" x14ac:dyDescent="0.2">
      <c r="B129" s="50">
        <v>42</v>
      </c>
      <c r="C129" s="51">
        <v>44571</v>
      </c>
      <c r="D129" s="52"/>
      <c r="E129" s="52"/>
      <c r="F129" s="53"/>
      <c r="G129" s="53"/>
      <c r="H129" s="52"/>
      <c r="I129" s="52"/>
      <c r="J129" s="52"/>
      <c r="K129" s="53"/>
      <c r="L129" s="54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</row>
    <row r="130" spans="2:52" s="1" customFormat="1" ht="23.25" hidden="1" customHeight="1" x14ac:dyDescent="0.2">
      <c r="B130" s="50">
        <v>43</v>
      </c>
      <c r="C130" s="51">
        <v>44578</v>
      </c>
      <c r="D130" s="52"/>
      <c r="E130" s="52"/>
      <c r="F130" s="53"/>
      <c r="G130" s="53"/>
      <c r="H130" s="52"/>
      <c r="I130" s="52"/>
      <c r="J130" s="52"/>
      <c r="K130" s="53"/>
      <c r="L130" s="54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</row>
    <row r="131" spans="2:52" s="1" customFormat="1" ht="23.25" hidden="1" customHeight="1" x14ac:dyDescent="0.2">
      <c r="B131" s="50">
        <v>44</v>
      </c>
      <c r="C131" s="51">
        <v>44585</v>
      </c>
      <c r="D131" s="52"/>
      <c r="E131" s="52"/>
      <c r="F131" s="53"/>
      <c r="G131" s="53"/>
      <c r="H131" s="52"/>
      <c r="I131" s="52"/>
      <c r="J131" s="52"/>
      <c r="K131" s="53"/>
      <c r="L131" s="54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</row>
    <row r="132" spans="2:52" s="1" customFormat="1" ht="23.25" hidden="1" customHeight="1" x14ac:dyDescent="0.2">
      <c r="B132" s="50">
        <v>45</v>
      </c>
      <c r="C132" s="51">
        <v>44592</v>
      </c>
      <c r="D132" s="52"/>
      <c r="E132" s="52"/>
      <c r="F132" s="53"/>
      <c r="G132" s="53"/>
      <c r="H132" s="52"/>
      <c r="I132" s="52"/>
      <c r="J132" s="52"/>
      <c r="K132" s="53"/>
      <c r="L132" s="54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</row>
    <row r="133" spans="2:52" s="1" customFormat="1" ht="23.25" hidden="1" customHeight="1" x14ac:dyDescent="0.2">
      <c r="B133" s="50">
        <v>46</v>
      </c>
      <c r="C133" s="51">
        <v>44599</v>
      </c>
      <c r="D133" s="52"/>
      <c r="E133" s="52"/>
      <c r="F133" s="53"/>
      <c r="G133" s="53"/>
      <c r="H133" s="52"/>
      <c r="I133" s="52"/>
      <c r="J133" s="52"/>
      <c r="K133" s="53"/>
      <c r="L133" s="54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</row>
    <row r="134" spans="2:52" s="1" customFormat="1" ht="23.25" hidden="1" customHeight="1" x14ac:dyDescent="0.2">
      <c r="B134" s="50">
        <v>47</v>
      </c>
      <c r="C134" s="51">
        <v>44606</v>
      </c>
      <c r="D134" s="52"/>
      <c r="E134" s="52"/>
      <c r="F134" s="53"/>
      <c r="G134" s="53"/>
      <c r="H134" s="52"/>
      <c r="I134" s="52"/>
      <c r="J134" s="52"/>
      <c r="K134" s="53"/>
      <c r="L134" s="54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</row>
    <row r="135" spans="2:52" s="1" customFormat="1" ht="23.25" hidden="1" customHeight="1" x14ac:dyDescent="0.2">
      <c r="B135" s="50">
        <v>48</v>
      </c>
      <c r="C135" s="51">
        <v>44613</v>
      </c>
      <c r="D135" s="52"/>
      <c r="E135" s="52"/>
      <c r="F135" s="53"/>
      <c r="G135" s="53"/>
      <c r="H135" s="52"/>
      <c r="I135" s="52"/>
      <c r="J135" s="52"/>
      <c r="K135" s="53"/>
      <c r="L135" s="54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</row>
    <row r="136" spans="2:52" s="1" customFormat="1" ht="23.25" hidden="1" customHeight="1" x14ac:dyDescent="0.2">
      <c r="B136" s="50">
        <v>49</v>
      </c>
      <c r="C136" s="51">
        <v>44620</v>
      </c>
      <c r="D136" s="52"/>
      <c r="E136" s="52"/>
      <c r="F136" s="53"/>
      <c r="G136" s="53"/>
      <c r="H136" s="52"/>
      <c r="I136" s="52"/>
      <c r="J136" s="52"/>
      <c r="K136" s="53"/>
      <c r="L136" s="54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</row>
    <row r="137" spans="2:52" s="1" customFormat="1" ht="23.25" hidden="1" customHeight="1" x14ac:dyDescent="0.2">
      <c r="B137" s="50">
        <v>50</v>
      </c>
      <c r="C137" s="51">
        <v>44627</v>
      </c>
      <c r="D137" s="52"/>
      <c r="E137" s="52"/>
      <c r="F137" s="53"/>
      <c r="G137" s="53"/>
      <c r="H137" s="52"/>
      <c r="I137" s="52"/>
      <c r="J137" s="52"/>
      <c r="K137" s="53"/>
      <c r="L137" s="54"/>
      <c r="M137" s="3"/>
      <c r="N137" s="241" t="s">
        <v>69</v>
      </c>
      <c r="O137" s="242"/>
      <c r="P137" s="24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</row>
    <row r="138" spans="2:52" s="1" customFormat="1" ht="23.25" hidden="1" customHeight="1" x14ac:dyDescent="0.2">
      <c r="B138" s="50">
        <v>51</v>
      </c>
      <c r="C138" s="51">
        <v>44634</v>
      </c>
      <c r="D138" s="52"/>
      <c r="E138" s="52"/>
      <c r="F138" s="53"/>
      <c r="G138" s="53"/>
      <c r="H138" s="52"/>
      <c r="I138" s="52"/>
      <c r="J138" s="52"/>
      <c r="K138" s="53"/>
      <c r="L138" s="54"/>
      <c r="M138" s="3"/>
      <c r="N138" s="251" t="s">
        <v>70</v>
      </c>
      <c r="O138" s="252"/>
      <c r="P138" s="55">
        <f>SUM(D128:D140)</f>
        <v>0</v>
      </c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</row>
    <row r="139" spans="2:52" s="1" customFormat="1" ht="23.25" hidden="1" customHeight="1" x14ac:dyDescent="0.2">
      <c r="B139" s="50">
        <v>52</v>
      </c>
      <c r="C139" s="51">
        <v>44641</v>
      </c>
      <c r="D139" s="52"/>
      <c r="E139" s="52"/>
      <c r="F139" s="53"/>
      <c r="G139" s="53"/>
      <c r="H139" s="52"/>
      <c r="I139" s="52"/>
      <c r="J139" s="52"/>
      <c r="K139" s="53"/>
      <c r="L139" s="54"/>
      <c r="M139" s="3"/>
      <c r="N139" s="251" t="s">
        <v>64</v>
      </c>
      <c r="O139" s="252"/>
      <c r="P139" s="55">
        <f>SUM(G128:G140)</f>
        <v>0</v>
      </c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</row>
    <row r="140" spans="2:52" s="1" customFormat="1" ht="23.25" hidden="1" customHeight="1" x14ac:dyDescent="0.2">
      <c r="B140" s="50">
        <v>53</v>
      </c>
      <c r="C140" s="51">
        <v>44648</v>
      </c>
      <c r="D140" s="52"/>
      <c r="E140" s="52"/>
      <c r="F140" s="53"/>
      <c r="G140" s="53"/>
      <c r="H140" s="52"/>
      <c r="I140" s="52"/>
      <c r="J140" s="52"/>
      <c r="K140" s="53"/>
      <c r="L140" s="54"/>
      <c r="M140" s="3"/>
      <c r="N140" s="251" t="s">
        <v>65</v>
      </c>
      <c r="O140" s="252"/>
      <c r="P140" s="55">
        <f>SUM(J128:J140)</f>
        <v>0</v>
      </c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</row>
    <row r="141" spans="2:52" s="1" customFormat="1" ht="17" hidden="1" thickBot="1" x14ac:dyDescent="0.25">
      <c r="B141" s="65"/>
      <c r="C141" s="66" t="s">
        <v>71</v>
      </c>
      <c r="D141" s="67" t="s">
        <v>72</v>
      </c>
      <c r="E141" s="67" t="s">
        <v>72</v>
      </c>
      <c r="F141" s="67" t="s">
        <v>72</v>
      </c>
      <c r="G141" s="67" t="s">
        <v>72</v>
      </c>
      <c r="H141" s="67" t="s">
        <v>72</v>
      </c>
      <c r="I141" s="67" t="s">
        <v>72</v>
      </c>
      <c r="J141" s="67" t="s">
        <v>72</v>
      </c>
      <c r="K141" s="67" t="s">
        <v>72</v>
      </c>
      <c r="L141" s="68" t="s">
        <v>72</v>
      </c>
      <c r="M141" s="3"/>
      <c r="N141" s="253" t="s">
        <v>66</v>
      </c>
      <c r="O141" s="254"/>
      <c r="P141" s="60">
        <f>SUM(L128:L140)</f>
        <v>0</v>
      </c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</row>
    <row r="142" spans="2:52" s="1" customFormat="1" ht="17" hidden="1" thickBot="1" x14ac:dyDescent="0.25">
      <c r="B142" s="42"/>
      <c r="C142" s="69"/>
      <c r="D142" s="70">
        <f t="shared" ref="D142:L142" si="1">SUM(D88:D140)</f>
        <v>0</v>
      </c>
      <c r="E142" s="70">
        <f t="shared" si="1"/>
        <v>0</v>
      </c>
      <c r="F142" s="70">
        <f t="shared" si="1"/>
        <v>0</v>
      </c>
      <c r="G142" s="70">
        <f t="shared" si="1"/>
        <v>0</v>
      </c>
      <c r="H142" s="70">
        <f t="shared" si="1"/>
        <v>0</v>
      </c>
      <c r="I142" s="70">
        <f t="shared" si="1"/>
        <v>0</v>
      </c>
      <c r="J142" s="70">
        <f t="shared" si="1"/>
        <v>0</v>
      </c>
      <c r="K142" s="70">
        <f t="shared" si="1"/>
        <v>0</v>
      </c>
      <c r="L142" s="71">
        <f t="shared" si="1"/>
        <v>0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</row>
    <row r="143" spans="2:52" s="1" customFormat="1" hidden="1" x14ac:dyDescent="0.2">
      <c r="C143" s="2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2:52" s="1" customFormat="1" x14ac:dyDescent="0.2">
      <c r="C144" s="2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2:61" s="1" customFormat="1" x14ac:dyDescent="0.2">
      <c r="C145" s="2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2:61" s="1" customFormat="1" x14ac:dyDescent="0.2">
      <c r="C146" s="2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2:61" s="1" customFormat="1" x14ac:dyDescent="0.2">
      <c r="C147" s="2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2:61" s="1" customFormat="1" x14ac:dyDescent="0.2">
      <c r="C148" s="2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2:61" s="1" customFormat="1" x14ac:dyDescent="0.2">
      <c r="C149" s="2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2:61" s="1" customFormat="1" x14ac:dyDescent="0.2">
      <c r="C150" s="2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2:61" s="1" customFormat="1" x14ac:dyDescent="0.2">
      <c r="C151" s="2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</row>
    <row r="152" spans="2:61" s="1" customFormat="1" x14ac:dyDescent="0.2">
      <c r="C152" s="2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2:61" s="1" customFormat="1" x14ac:dyDescent="0.2">
      <c r="C153" s="2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2:61" s="1" customFormat="1" x14ac:dyDescent="0.2">
      <c r="C154" s="2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 spans="2:61" s="1" customFormat="1" x14ac:dyDescent="0.2">
      <c r="C155" s="2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2:61" x14ac:dyDescent="0.2"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3"/>
      <c r="BA156"/>
      <c r="BB156"/>
      <c r="BC156"/>
      <c r="BD156"/>
      <c r="BE156"/>
      <c r="BF156"/>
      <c r="BG156"/>
      <c r="BH156"/>
      <c r="BI156"/>
    </row>
    <row r="157" spans="2:61" s="3" customFormat="1" x14ac:dyDescent="0.2"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2:61" s="3" customFormat="1" x14ac:dyDescent="0.2"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2:61" s="3" customFormat="1" x14ac:dyDescent="0.2"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2:61" s="3" customFormat="1" x14ac:dyDescent="0.2"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2:15" s="3" customFormat="1" x14ac:dyDescent="0.2"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2:15" s="3" customFormat="1" x14ac:dyDescent="0.2"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2:15" s="3" customFormat="1" x14ac:dyDescent="0.2"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2:15" s="3" customFormat="1" x14ac:dyDescent="0.2"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2:15" s="3" customFormat="1" x14ac:dyDescent="0.2"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2:15" s="3" customFormat="1" x14ac:dyDescent="0.2"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2:15" s="3" customFormat="1" x14ac:dyDescent="0.2"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2:15" s="3" customFormat="1" x14ac:dyDescent="0.2"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2:15" s="3" customFormat="1" x14ac:dyDescent="0.2"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2:15" s="3" customFormat="1" x14ac:dyDescent="0.2"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2:15" s="3" customFormat="1" x14ac:dyDescent="0.2"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2:15" s="3" customFormat="1" x14ac:dyDescent="0.2">
      <c r="B172"/>
      <c r="C172" s="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2:15" s="3" customFormat="1" x14ac:dyDescent="0.2">
      <c r="C173" s="73"/>
    </row>
    <row r="174" spans="2:15" s="3" customFormat="1" x14ac:dyDescent="0.2">
      <c r="C174" s="73"/>
    </row>
    <row r="175" spans="2:15" s="3" customFormat="1" x14ac:dyDescent="0.2">
      <c r="C175" s="73"/>
    </row>
    <row r="176" spans="2:15" s="3" customFormat="1" x14ac:dyDescent="0.2">
      <c r="C176" s="73"/>
    </row>
    <row r="177" spans="3:3" s="3" customFormat="1" x14ac:dyDescent="0.2">
      <c r="C177" s="73"/>
    </row>
    <row r="178" spans="3:3" s="3" customFormat="1" x14ac:dyDescent="0.2">
      <c r="C178" s="73"/>
    </row>
    <row r="179" spans="3:3" s="3" customFormat="1" x14ac:dyDescent="0.2">
      <c r="C179" s="73"/>
    </row>
    <row r="180" spans="3:3" s="3" customFormat="1" x14ac:dyDescent="0.2">
      <c r="C180" s="73"/>
    </row>
    <row r="181" spans="3:3" s="3" customFormat="1" x14ac:dyDescent="0.2">
      <c r="C181" s="73"/>
    </row>
    <row r="182" spans="3:3" s="3" customFormat="1" x14ac:dyDescent="0.2">
      <c r="C182" s="73"/>
    </row>
    <row r="183" spans="3:3" s="3" customFormat="1" x14ac:dyDescent="0.2">
      <c r="C183" s="73"/>
    </row>
    <row r="184" spans="3:3" s="3" customFormat="1" x14ac:dyDescent="0.2">
      <c r="C184" s="73"/>
    </row>
    <row r="185" spans="3:3" s="3" customFormat="1" x14ac:dyDescent="0.2">
      <c r="C185" s="73"/>
    </row>
    <row r="186" spans="3:3" s="3" customFormat="1" x14ac:dyDescent="0.2">
      <c r="C186" s="73"/>
    </row>
    <row r="187" spans="3:3" s="3" customFormat="1" x14ac:dyDescent="0.2">
      <c r="C187" s="73"/>
    </row>
    <row r="188" spans="3:3" s="3" customFormat="1" x14ac:dyDescent="0.2">
      <c r="C188" s="73"/>
    </row>
    <row r="189" spans="3:3" s="3" customFormat="1" x14ac:dyDescent="0.2">
      <c r="C189" s="73"/>
    </row>
    <row r="190" spans="3:3" s="3" customFormat="1" x14ac:dyDescent="0.2">
      <c r="C190" s="73"/>
    </row>
    <row r="191" spans="3:3" s="3" customFormat="1" x14ac:dyDescent="0.2">
      <c r="C191" s="73"/>
    </row>
    <row r="192" spans="3:3" s="3" customFormat="1" x14ac:dyDescent="0.2">
      <c r="C192" s="73"/>
    </row>
    <row r="193" spans="3:3" s="3" customFormat="1" x14ac:dyDescent="0.2">
      <c r="C193" s="73"/>
    </row>
    <row r="194" spans="3:3" s="3" customFormat="1" x14ac:dyDescent="0.2">
      <c r="C194" s="73"/>
    </row>
    <row r="195" spans="3:3" s="3" customFormat="1" x14ac:dyDescent="0.2">
      <c r="C195" s="73"/>
    </row>
    <row r="196" spans="3:3" s="3" customFormat="1" x14ac:dyDescent="0.2">
      <c r="C196" s="73"/>
    </row>
    <row r="197" spans="3:3" s="3" customFormat="1" x14ac:dyDescent="0.2">
      <c r="C197" s="73"/>
    </row>
    <row r="198" spans="3:3" s="3" customFormat="1" x14ac:dyDescent="0.2">
      <c r="C198" s="73"/>
    </row>
    <row r="199" spans="3:3" s="3" customFormat="1" x14ac:dyDescent="0.2">
      <c r="C199" s="73"/>
    </row>
    <row r="200" spans="3:3" s="3" customFormat="1" x14ac:dyDescent="0.2">
      <c r="C200" s="73"/>
    </row>
    <row r="201" spans="3:3" s="3" customFormat="1" x14ac:dyDescent="0.2">
      <c r="C201" s="73"/>
    </row>
    <row r="202" spans="3:3" s="3" customFormat="1" x14ac:dyDescent="0.2">
      <c r="C202" s="73"/>
    </row>
    <row r="203" spans="3:3" s="3" customFormat="1" x14ac:dyDescent="0.2">
      <c r="C203" s="73"/>
    </row>
    <row r="204" spans="3:3" s="3" customFormat="1" x14ac:dyDescent="0.2">
      <c r="C204" s="73"/>
    </row>
    <row r="205" spans="3:3" s="3" customFormat="1" x14ac:dyDescent="0.2">
      <c r="C205" s="73"/>
    </row>
    <row r="206" spans="3:3" s="3" customFormat="1" x14ac:dyDescent="0.2">
      <c r="C206" s="73"/>
    </row>
    <row r="207" spans="3:3" s="3" customFormat="1" x14ac:dyDescent="0.2">
      <c r="C207" s="73"/>
    </row>
    <row r="208" spans="3:3" s="3" customFormat="1" x14ac:dyDescent="0.2">
      <c r="C208" s="73"/>
    </row>
    <row r="209" spans="3:3" s="3" customFormat="1" x14ac:dyDescent="0.2">
      <c r="C209" s="73"/>
    </row>
    <row r="210" spans="3:3" s="3" customFormat="1" x14ac:dyDescent="0.2">
      <c r="C210" s="73"/>
    </row>
    <row r="211" spans="3:3" s="3" customFormat="1" x14ac:dyDescent="0.2">
      <c r="C211" s="73"/>
    </row>
    <row r="212" spans="3:3" s="3" customFormat="1" x14ac:dyDescent="0.2">
      <c r="C212" s="73"/>
    </row>
    <row r="213" spans="3:3" s="3" customFormat="1" x14ac:dyDescent="0.2">
      <c r="C213" s="73"/>
    </row>
    <row r="214" spans="3:3" s="3" customFormat="1" x14ac:dyDescent="0.2">
      <c r="C214" s="73"/>
    </row>
    <row r="215" spans="3:3" s="3" customFormat="1" x14ac:dyDescent="0.2">
      <c r="C215" s="73"/>
    </row>
    <row r="216" spans="3:3" s="3" customFormat="1" x14ac:dyDescent="0.2">
      <c r="C216" s="73"/>
    </row>
  </sheetData>
  <mergeCells count="272">
    <mergeCell ref="N141:O141"/>
    <mergeCell ref="N126:O126"/>
    <mergeCell ref="N127:O127"/>
    <mergeCell ref="N137:P137"/>
    <mergeCell ref="N138:O138"/>
    <mergeCell ref="N139:O139"/>
    <mergeCell ref="N140:O140"/>
    <mergeCell ref="N112:O112"/>
    <mergeCell ref="N113:O113"/>
    <mergeCell ref="N114:O114"/>
    <mergeCell ref="N123:P123"/>
    <mergeCell ref="N124:O124"/>
    <mergeCell ref="N125:O125"/>
    <mergeCell ref="N98:O98"/>
    <mergeCell ref="N99:O99"/>
    <mergeCell ref="N100:O100"/>
    <mergeCell ref="N101:O101"/>
    <mergeCell ref="N110:P110"/>
    <mergeCell ref="N111:O111"/>
    <mergeCell ref="B86:C86"/>
    <mergeCell ref="D86:E86"/>
    <mergeCell ref="F86:G86"/>
    <mergeCell ref="H86:J86"/>
    <mergeCell ref="K86:L86"/>
    <mergeCell ref="N97:P97"/>
    <mergeCell ref="C83:E83"/>
    <mergeCell ref="G83:I83"/>
    <mergeCell ref="J83:L83"/>
    <mergeCell ref="Q83:S83"/>
    <mergeCell ref="B85:C85"/>
    <mergeCell ref="D85:L85"/>
    <mergeCell ref="C81:E81"/>
    <mergeCell ref="G81:I81"/>
    <mergeCell ref="J81:L81"/>
    <mergeCell ref="Q81:S81"/>
    <mergeCell ref="C82:E82"/>
    <mergeCell ref="G82:I82"/>
    <mergeCell ref="J82:L82"/>
    <mergeCell ref="Q82:S82"/>
    <mergeCell ref="C78:E78"/>
    <mergeCell ref="G78:I78"/>
    <mergeCell ref="C79:E79"/>
    <mergeCell ref="G79:I79"/>
    <mergeCell ref="C80:E80"/>
    <mergeCell ref="G80:I80"/>
    <mergeCell ref="C68:E68"/>
    <mergeCell ref="G68:I68"/>
    <mergeCell ref="J68:L68"/>
    <mergeCell ref="Q68:S68"/>
    <mergeCell ref="C69:E69"/>
    <mergeCell ref="G69:I69"/>
    <mergeCell ref="C66:E66"/>
    <mergeCell ref="G66:I66"/>
    <mergeCell ref="J66:L66"/>
    <mergeCell ref="Q66:S66"/>
    <mergeCell ref="C67:E67"/>
    <mergeCell ref="G67:I67"/>
    <mergeCell ref="J67:L67"/>
    <mergeCell ref="Q67:S67"/>
    <mergeCell ref="C64:E64"/>
    <mergeCell ref="G64:I64"/>
    <mergeCell ref="J64:L64"/>
    <mergeCell ref="Q64:S64"/>
    <mergeCell ref="C65:E65"/>
    <mergeCell ref="G65:I65"/>
    <mergeCell ref="J65:L65"/>
    <mergeCell ref="Q65:S65"/>
    <mergeCell ref="C62:E62"/>
    <mergeCell ref="G62:I62"/>
    <mergeCell ref="J62:L62"/>
    <mergeCell ref="Q62:S62"/>
    <mergeCell ref="C63:E63"/>
    <mergeCell ref="G63:I63"/>
    <mergeCell ref="J63:L63"/>
    <mergeCell ref="Q63:S63"/>
    <mergeCell ref="C60:E60"/>
    <mergeCell ref="G60:I60"/>
    <mergeCell ref="J60:L60"/>
    <mergeCell ref="Q60:S60"/>
    <mergeCell ref="C61:E61"/>
    <mergeCell ref="G61:I61"/>
    <mergeCell ref="J61:L61"/>
    <mergeCell ref="G57:I57"/>
    <mergeCell ref="C58:E58"/>
    <mergeCell ref="G58:I58"/>
    <mergeCell ref="J58:L58"/>
    <mergeCell ref="Q58:S58"/>
    <mergeCell ref="C59:E59"/>
    <mergeCell ref="G59:I59"/>
    <mergeCell ref="J59:L59"/>
    <mergeCell ref="Q59:S59"/>
    <mergeCell ref="C55:E55"/>
    <mergeCell ref="G55:I55"/>
    <mergeCell ref="J55:L55"/>
    <mergeCell ref="Q55:S55"/>
    <mergeCell ref="C56:E56"/>
    <mergeCell ref="G56:I56"/>
    <mergeCell ref="J56:L56"/>
    <mergeCell ref="Q56:S56"/>
    <mergeCell ref="C53:E53"/>
    <mergeCell ref="G53:I53"/>
    <mergeCell ref="J53:L53"/>
    <mergeCell ref="Q53:S53"/>
    <mergeCell ref="C54:E54"/>
    <mergeCell ref="G54:I54"/>
    <mergeCell ref="J54:L54"/>
    <mergeCell ref="Q54:S54"/>
    <mergeCell ref="G50:I50"/>
    <mergeCell ref="C51:E51"/>
    <mergeCell ref="G51:I51"/>
    <mergeCell ref="J51:L51"/>
    <mergeCell ref="Q51:S51"/>
    <mergeCell ref="C52:E52"/>
    <mergeCell ref="G52:I52"/>
    <mergeCell ref="J52:L52"/>
    <mergeCell ref="Q52:S52"/>
    <mergeCell ref="C48:E48"/>
    <mergeCell ref="G48:I48"/>
    <mergeCell ref="J48:L48"/>
    <mergeCell ref="Q48:S48"/>
    <mergeCell ref="C49:E49"/>
    <mergeCell ref="G49:I49"/>
    <mergeCell ref="J49:L49"/>
    <mergeCell ref="Q49:S49"/>
    <mergeCell ref="C46:E46"/>
    <mergeCell ref="G46:I46"/>
    <mergeCell ref="J46:L46"/>
    <mergeCell ref="Q46:S46"/>
    <mergeCell ref="C47:E47"/>
    <mergeCell ref="G47:I47"/>
    <mergeCell ref="J47:L47"/>
    <mergeCell ref="Q47:S47"/>
    <mergeCell ref="C44:E44"/>
    <mergeCell ref="G44:I44"/>
    <mergeCell ref="J44:L44"/>
    <mergeCell ref="Q44:S44"/>
    <mergeCell ref="C45:E45"/>
    <mergeCell ref="G45:I45"/>
    <mergeCell ref="J45:L45"/>
    <mergeCell ref="Q45:S45"/>
    <mergeCell ref="C42:E42"/>
    <mergeCell ref="G42:I42"/>
    <mergeCell ref="J42:L42"/>
    <mergeCell ref="Q42:S42"/>
    <mergeCell ref="C43:E43"/>
    <mergeCell ref="G43:I43"/>
    <mergeCell ref="C40:E40"/>
    <mergeCell ref="G40:I40"/>
    <mergeCell ref="J40:L40"/>
    <mergeCell ref="Q40:S40"/>
    <mergeCell ref="C41:E41"/>
    <mergeCell ref="G41:I41"/>
    <mergeCell ref="J41:L41"/>
    <mergeCell ref="Q41:S41"/>
    <mergeCell ref="C38:E38"/>
    <mergeCell ref="G38:I38"/>
    <mergeCell ref="J38:L38"/>
    <mergeCell ref="Q38:S38"/>
    <mergeCell ref="C39:E39"/>
    <mergeCell ref="G39:I39"/>
    <mergeCell ref="J39:L39"/>
    <mergeCell ref="Q39:S39"/>
    <mergeCell ref="G36:I36"/>
    <mergeCell ref="J36:L36"/>
    <mergeCell ref="C37:E37"/>
    <mergeCell ref="G37:I37"/>
    <mergeCell ref="J37:L37"/>
    <mergeCell ref="Q37:S37"/>
    <mergeCell ref="C34:E34"/>
    <mergeCell ref="G34:I34"/>
    <mergeCell ref="J34:L34"/>
    <mergeCell ref="Q34:S34"/>
    <mergeCell ref="C35:E35"/>
    <mergeCell ref="G35:I35"/>
    <mergeCell ref="J35:L35"/>
    <mergeCell ref="Q35:S35"/>
    <mergeCell ref="C32:E32"/>
    <mergeCell ref="G32:I32"/>
    <mergeCell ref="J32:L32"/>
    <mergeCell ref="Q32:S32"/>
    <mergeCell ref="C33:E33"/>
    <mergeCell ref="G33:I33"/>
    <mergeCell ref="J33:L33"/>
    <mergeCell ref="Q33:S33"/>
    <mergeCell ref="B28:C28"/>
    <mergeCell ref="D28:K28"/>
    <mergeCell ref="B29:C29"/>
    <mergeCell ref="D29:K29"/>
    <mergeCell ref="B31:C31"/>
    <mergeCell ref="D31:T31"/>
    <mergeCell ref="B25:C25"/>
    <mergeCell ref="D25:K25"/>
    <mergeCell ref="B26:C26"/>
    <mergeCell ref="D26:K26"/>
    <mergeCell ref="B27:C27"/>
    <mergeCell ref="D27:K27"/>
    <mergeCell ref="B22:C22"/>
    <mergeCell ref="D22:K22"/>
    <mergeCell ref="B23:C23"/>
    <mergeCell ref="D23:K23"/>
    <mergeCell ref="B24:C24"/>
    <mergeCell ref="D24:K24"/>
    <mergeCell ref="B20:C20"/>
    <mergeCell ref="D20:K20"/>
    <mergeCell ref="P20:Q20"/>
    <mergeCell ref="S20:T20"/>
    <mergeCell ref="B21:C21"/>
    <mergeCell ref="D21:K21"/>
    <mergeCell ref="B18:C18"/>
    <mergeCell ref="D18:K18"/>
    <mergeCell ref="P18:Q18"/>
    <mergeCell ref="S18:T18"/>
    <mergeCell ref="B19:C19"/>
    <mergeCell ref="D19:K19"/>
    <mergeCell ref="P19:Q19"/>
    <mergeCell ref="S19:T19"/>
    <mergeCell ref="B16:C16"/>
    <mergeCell ref="D16:K16"/>
    <mergeCell ref="P16:Q16"/>
    <mergeCell ref="S16:T16"/>
    <mergeCell ref="B17:C17"/>
    <mergeCell ref="D17:K17"/>
    <mergeCell ref="P17:Q17"/>
    <mergeCell ref="S17:T17"/>
    <mergeCell ref="B14:C14"/>
    <mergeCell ref="D14:K14"/>
    <mergeCell ref="P14:Q14"/>
    <mergeCell ref="S14:T14"/>
    <mergeCell ref="B15:C15"/>
    <mergeCell ref="D15:K15"/>
    <mergeCell ref="P15:Q15"/>
    <mergeCell ref="S15:T15"/>
    <mergeCell ref="B12:C12"/>
    <mergeCell ref="D12:K12"/>
    <mergeCell ref="P12:Q12"/>
    <mergeCell ref="S12:T12"/>
    <mergeCell ref="B13:C13"/>
    <mergeCell ref="D13:K13"/>
    <mergeCell ref="P13:Q13"/>
    <mergeCell ref="S13:T13"/>
    <mergeCell ref="S9:T9"/>
    <mergeCell ref="P10:Q10"/>
    <mergeCell ref="S10:T10"/>
    <mergeCell ref="B11:C11"/>
    <mergeCell ref="D11:K11"/>
    <mergeCell ref="P11:Q11"/>
    <mergeCell ref="S11:T11"/>
    <mergeCell ref="B8:C8"/>
    <mergeCell ref="D8:M8"/>
    <mergeCell ref="P8:Q8"/>
    <mergeCell ref="S8:T8"/>
    <mergeCell ref="B9:C10"/>
    <mergeCell ref="D9:K10"/>
    <mergeCell ref="L9:L10"/>
    <mergeCell ref="M9:M10"/>
    <mergeCell ref="P9:Q9"/>
    <mergeCell ref="P4:Q4"/>
    <mergeCell ref="B5:E6"/>
    <mergeCell ref="F5:G6"/>
    <mergeCell ref="H5:K6"/>
    <mergeCell ref="L5:M6"/>
    <mergeCell ref="P6:Q6"/>
    <mergeCell ref="B2:C2"/>
    <mergeCell ref="D2:E2"/>
    <mergeCell ref="F2:G2"/>
    <mergeCell ref="H2:M2"/>
    <mergeCell ref="P2:Q2"/>
    <mergeCell ref="B3:E4"/>
    <mergeCell ref="F3:G4"/>
    <mergeCell ref="H3:K4"/>
    <mergeCell ref="L3:M4"/>
    <mergeCell ref="P3:Q3"/>
  </mergeCells>
  <conditionalFormatting sqref="L5:M6">
    <cfRule type="cellIs" dxfId="0" priority="1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pany_x0020_Information xmlns="5b3f0fe8-1e4e-4e37-b9dd-020f1817fdb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8293B9CFC7184788954C8AE9DF38B6" ma:contentTypeVersion="7" ma:contentTypeDescription="Create a new document." ma:contentTypeScope="" ma:versionID="37bd2a59673fa13c6dbed4eba0c1c97d">
  <xsd:schema xmlns:xsd="http://www.w3.org/2001/XMLSchema" xmlns:xs="http://www.w3.org/2001/XMLSchema" xmlns:p="http://schemas.microsoft.com/office/2006/metadata/properties" xmlns:ns2="5b3f0fe8-1e4e-4e37-b9dd-020f1817fdb6" xmlns:ns3="7896caa4-cb3e-4534-a9c6-a459336d2032" targetNamespace="http://schemas.microsoft.com/office/2006/metadata/properties" ma:root="true" ma:fieldsID="40143ef490aac99367c30c53d8dffc89" ns2:_="" ns3:_="">
    <xsd:import namespace="5b3f0fe8-1e4e-4e37-b9dd-020f1817fdb6"/>
    <xsd:import namespace="7896caa4-cb3e-4534-a9c6-a459336d2032"/>
    <xsd:element name="properties">
      <xsd:complexType>
        <xsd:sequence>
          <xsd:element name="documentManagement">
            <xsd:complexType>
              <xsd:all>
                <xsd:element ref="ns2:Company_x0020_Informatio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3f0fe8-1e4e-4e37-b9dd-020f1817fdb6" elementFormDefault="qualified">
    <xsd:import namespace="http://schemas.microsoft.com/office/2006/documentManagement/types"/>
    <xsd:import namespace="http://schemas.microsoft.com/office/infopath/2007/PartnerControls"/>
    <xsd:element name="Company_x0020_Information" ma:index="2" nillable="true" ma:displayName="Company Information" ma:default="" ma:description="Company Information - BMC, Helix &amp; Both" ma:format="Dropdown" ma:internalName="Company_x0020_Information">
      <xsd:simpleType>
        <xsd:restriction base="dms:Choice">
          <xsd:enumeration value="BMC"/>
          <xsd:enumeration value="Helix"/>
          <xsd:enumeration value="Both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96caa4-cb3e-4534-a9c6-a459336d20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8ba5a15c-2968-4fd6-a313-dd58514ffb1a" ContentTypeId="0x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7B89A3-B012-4B2A-A037-7C7B47B1C021}">
  <ds:schemaRefs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7896caa4-cb3e-4534-a9c6-a459336d2032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terms/"/>
    <ds:schemaRef ds:uri="5b3f0fe8-1e4e-4e37-b9dd-020f1817fdb6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1DC2A41-4215-444D-9EC3-52BB816451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3f0fe8-1e4e-4e37-b9dd-020f1817fdb6"/>
    <ds:schemaRef ds:uri="7896caa4-cb3e-4534-a9c6-a459336d20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656E2-3205-45B7-A3BC-A22D5D8E3CCE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5AEA05B3-7A6C-4C2F-A300-2B5B7CAF2E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Giles</vt:lpstr>
      <vt:lpstr>Mel</vt:lpstr>
      <vt:lpstr>Tristan</vt:lpstr>
      <vt:lpstr>Hani</vt:lpstr>
      <vt:lpstr>Jasmeet</vt:lpstr>
      <vt:lpstr>Alex</vt:lpstr>
      <vt:lpstr>Real example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Villena, Hector</dc:creator>
  <cp:keywords/>
  <dc:description/>
  <cp:lastModifiedBy>McGovern, Melissa</cp:lastModifiedBy>
  <cp:revision/>
  <dcterms:created xsi:type="dcterms:W3CDTF">2023-05-09T14:45:27Z</dcterms:created>
  <dcterms:modified xsi:type="dcterms:W3CDTF">2026-04-30T08:53:27Z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0x010100DA8293B9CFC7184788954C8AE9DF38B6</vt:lpwstr>
  </property>
</Properties>
</file>